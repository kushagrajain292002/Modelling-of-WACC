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\Documents\"/>
    </mc:Choice>
  </mc:AlternateContent>
  <xr:revisionPtr revIDLastSave="0" documentId="13_ncr:1_{BFBDD72A-85CD-4B6E-B552-E1D8A390E46F}" xr6:coauthVersionLast="47" xr6:coauthVersionMax="47" xr10:uidLastSave="{00000000-0000-0000-0000-000000000000}"/>
  <bookViews>
    <workbookView xWindow="-110" yWindow="-110" windowWidth="19420" windowHeight="10300" tabRatio="710" xr2:uid="{FDF8B20A-B024-44E1-93D2-B6727A8533BA}"/>
  </bookViews>
  <sheets>
    <sheet name="WACC" sheetId="1" r:id="rId1"/>
    <sheet name="Beta dmart" sheetId="2" r:id="rId2"/>
    <sheet name="beta trent" sheetId="5" r:id="rId3"/>
    <sheet name="beta manavyar" sheetId="7" r:id="rId4"/>
    <sheet name="beta abfrl" sheetId="9" r:id="rId5"/>
    <sheet name="beta mterobrand" sheetId="8" r:id="rId6"/>
    <sheet name="comps closing prices" sheetId="6" r:id="rId7"/>
    <sheet name="beta-comps" sheetId="3" r:id="rId8"/>
    <sheet name="valuation of rm" sheetId="10" r:id="rId9"/>
  </sheets>
  <definedNames>
    <definedName name="_xlnm._FilterDatabase" localSheetId="1" hidden="1">'Beta dmart'!$A$5:$D$110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4" i="1" l="1"/>
  <c r="R42" i="1"/>
  <c r="R41" i="1"/>
  <c r="R39" i="1"/>
  <c r="R38" i="1"/>
  <c r="H12" i="1"/>
  <c r="H13" i="1"/>
  <c r="H14" i="1"/>
  <c r="H15" i="1"/>
  <c r="G12" i="1"/>
  <c r="G13" i="1"/>
  <c r="G14" i="1"/>
  <c r="G15" i="1"/>
  <c r="H11" i="1"/>
  <c r="G11" i="1"/>
  <c r="Q24" i="1"/>
  <c r="H9" i="10"/>
  <c r="H11" i="10"/>
  <c r="F33" i="1"/>
  <c r="F32" i="1"/>
  <c r="L18" i="1"/>
  <c r="L15" i="1"/>
  <c r="L14" i="1"/>
  <c r="L13" i="1"/>
  <c r="L11" i="1"/>
  <c r="P6" i="5"/>
  <c r="L12" i="1" s="1"/>
  <c r="P6" i="7"/>
  <c r="P6" i="9"/>
  <c r="P6" i="8"/>
  <c r="I110" i="8"/>
  <c r="D110" i="8"/>
  <c r="I109" i="8"/>
  <c r="D109" i="8"/>
  <c r="I108" i="8"/>
  <c r="D108" i="8"/>
  <c r="I107" i="8"/>
  <c r="D107" i="8"/>
  <c r="I106" i="8"/>
  <c r="D106" i="8"/>
  <c r="I105" i="8"/>
  <c r="D105" i="8"/>
  <c r="I104" i="8"/>
  <c r="D104" i="8"/>
  <c r="I103" i="8"/>
  <c r="D103" i="8"/>
  <c r="I102" i="8"/>
  <c r="D102" i="8"/>
  <c r="I101" i="8"/>
  <c r="D101" i="8"/>
  <c r="I100" i="8"/>
  <c r="D100" i="8"/>
  <c r="I99" i="8"/>
  <c r="D99" i="8"/>
  <c r="I98" i="8"/>
  <c r="D98" i="8"/>
  <c r="I97" i="8"/>
  <c r="D97" i="8"/>
  <c r="I96" i="8"/>
  <c r="D96" i="8"/>
  <c r="I95" i="8"/>
  <c r="D95" i="8"/>
  <c r="I94" i="8"/>
  <c r="D94" i="8"/>
  <c r="I93" i="8"/>
  <c r="D93" i="8"/>
  <c r="I92" i="8"/>
  <c r="D92" i="8"/>
  <c r="I91" i="8"/>
  <c r="D91" i="8"/>
  <c r="I90" i="8"/>
  <c r="D90" i="8"/>
  <c r="I89" i="8"/>
  <c r="D89" i="8"/>
  <c r="I88" i="8"/>
  <c r="D88" i="8"/>
  <c r="I87" i="8"/>
  <c r="D87" i="8"/>
  <c r="I86" i="8"/>
  <c r="D86" i="8"/>
  <c r="I85" i="8"/>
  <c r="D85" i="8"/>
  <c r="I84" i="8"/>
  <c r="D84" i="8"/>
  <c r="I83" i="8"/>
  <c r="D83" i="8"/>
  <c r="I82" i="8"/>
  <c r="D82" i="8"/>
  <c r="I81" i="8"/>
  <c r="D81" i="8"/>
  <c r="I80" i="8"/>
  <c r="D80" i="8"/>
  <c r="I79" i="8"/>
  <c r="D79" i="8"/>
  <c r="I78" i="8"/>
  <c r="D78" i="8"/>
  <c r="I77" i="8"/>
  <c r="D77" i="8"/>
  <c r="I76" i="8"/>
  <c r="D76" i="8"/>
  <c r="I75" i="8"/>
  <c r="D75" i="8"/>
  <c r="I74" i="8"/>
  <c r="D74" i="8"/>
  <c r="I73" i="8"/>
  <c r="D73" i="8"/>
  <c r="I72" i="8"/>
  <c r="D72" i="8"/>
  <c r="I71" i="8"/>
  <c r="D71" i="8"/>
  <c r="I70" i="8"/>
  <c r="D70" i="8"/>
  <c r="I69" i="8"/>
  <c r="D69" i="8"/>
  <c r="I68" i="8"/>
  <c r="D68" i="8"/>
  <c r="I67" i="8"/>
  <c r="D67" i="8"/>
  <c r="I66" i="8"/>
  <c r="D66" i="8"/>
  <c r="I65" i="8"/>
  <c r="D65" i="8"/>
  <c r="I64" i="8"/>
  <c r="D64" i="8"/>
  <c r="I63" i="8"/>
  <c r="D63" i="8"/>
  <c r="I62" i="8"/>
  <c r="D62" i="8"/>
  <c r="I61" i="8"/>
  <c r="D61" i="8"/>
  <c r="I60" i="8"/>
  <c r="D60" i="8"/>
  <c r="I59" i="8"/>
  <c r="D59" i="8"/>
  <c r="I58" i="8"/>
  <c r="D58" i="8"/>
  <c r="I57" i="8"/>
  <c r="D57" i="8"/>
  <c r="I56" i="8"/>
  <c r="D56" i="8"/>
  <c r="I55" i="8"/>
  <c r="D55" i="8"/>
  <c r="I54" i="8"/>
  <c r="D54" i="8"/>
  <c r="I53" i="8"/>
  <c r="D53" i="8"/>
  <c r="I52" i="8"/>
  <c r="D52" i="8"/>
  <c r="I51" i="8"/>
  <c r="D51" i="8"/>
  <c r="I50" i="8"/>
  <c r="D50" i="8"/>
  <c r="I49" i="8"/>
  <c r="D49" i="8"/>
  <c r="I48" i="8"/>
  <c r="D48" i="8"/>
  <c r="I47" i="8"/>
  <c r="D47" i="8"/>
  <c r="I46" i="8"/>
  <c r="D46" i="8"/>
  <c r="I45" i="8"/>
  <c r="D45" i="8"/>
  <c r="I44" i="8"/>
  <c r="D44" i="8"/>
  <c r="I43" i="8"/>
  <c r="D43" i="8"/>
  <c r="I42" i="8"/>
  <c r="D42" i="8"/>
  <c r="I41" i="8"/>
  <c r="D41" i="8"/>
  <c r="I40" i="8"/>
  <c r="D40" i="8"/>
  <c r="I39" i="8"/>
  <c r="D39" i="8"/>
  <c r="I38" i="8"/>
  <c r="D38" i="8"/>
  <c r="I37" i="8"/>
  <c r="D37" i="8"/>
  <c r="I36" i="8"/>
  <c r="D36" i="8"/>
  <c r="I35" i="8"/>
  <c r="D35" i="8"/>
  <c r="I34" i="8"/>
  <c r="D34" i="8"/>
  <c r="I33" i="8"/>
  <c r="D33" i="8"/>
  <c r="I32" i="8"/>
  <c r="D32" i="8"/>
  <c r="I31" i="8"/>
  <c r="D31" i="8"/>
  <c r="I30" i="8"/>
  <c r="D30" i="8"/>
  <c r="I29" i="8"/>
  <c r="D29" i="8"/>
  <c r="I28" i="8"/>
  <c r="D28" i="8"/>
  <c r="I27" i="8"/>
  <c r="D27" i="8"/>
  <c r="I26" i="8"/>
  <c r="D26" i="8"/>
  <c r="I25" i="8"/>
  <c r="D25" i="8"/>
  <c r="I24" i="8"/>
  <c r="D24" i="8"/>
  <c r="I23" i="8"/>
  <c r="D23" i="8"/>
  <c r="I22" i="8"/>
  <c r="D22" i="8"/>
  <c r="I21" i="8"/>
  <c r="D21" i="8"/>
  <c r="I20" i="8"/>
  <c r="D20" i="8"/>
  <c r="I19" i="8"/>
  <c r="D19" i="8"/>
  <c r="I18" i="8"/>
  <c r="D18" i="8"/>
  <c r="I17" i="8"/>
  <c r="D17" i="8"/>
  <c r="I16" i="8"/>
  <c r="D16" i="8"/>
  <c r="I15" i="8"/>
  <c r="D15" i="8"/>
  <c r="I14" i="8"/>
  <c r="D14" i="8"/>
  <c r="I13" i="8"/>
  <c r="D13" i="8"/>
  <c r="I12" i="8"/>
  <c r="D12" i="8"/>
  <c r="I11" i="8"/>
  <c r="D11" i="8"/>
  <c r="I10" i="8"/>
  <c r="D10" i="8"/>
  <c r="I9" i="8"/>
  <c r="D9" i="8"/>
  <c r="I8" i="8"/>
  <c r="D8" i="8"/>
  <c r="I7" i="8"/>
  <c r="D7" i="8"/>
  <c r="I110" i="9"/>
  <c r="D110" i="9"/>
  <c r="I109" i="9"/>
  <c r="D109" i="9"/>
  <c r="I108" i="9"/>
  <c r="D108" i="9"/>
  <c r="I107" i="9"/>
  <c r="D107" i="9"/>
  <c r="I106" i="9"/>
  <c r="D106" i="9"/>
  <c r="I105" i="9"/>
  <c r="D105" i="9"/>
  <c r="I104" i="9"/>
  <c r="D104" i="9"/>
  <c r="I103" i="9"/>
  <c r="D103" i="9"/>
  <c r="I102" i="9"/>
  <c r="D102" i="9"/>
  <c r="I101" i="9"/>
  <c r="D101" i="9"/>
  <c r="I100" i="9"/>
  <c r="D100" i="9"/>
  <c r="I99" i="9"/>
  <c r="D99" i="9"/>
  <c r="I98" i="9"/>
  <c r="D98" i="9"/>
  <c r="I97" i="9"/>
  <c r="D97" i="9"/>
  <c r="I96" i="9"/>
  <c r="D96" i="9"/>
  <c r="I95" i="9"/>
  <c r="D95" i="9"/>
  <c r="I94" i="9"/>
  <c r="D94" i="9"/>
  <c r="I93" i="9"/>
  <c r="D93" i="9"/>
  <c r="I92" i="9"/>
  <c r="D92" i="9"/>
  <c r="I91" i="9"/>
  <c r="D91" i="9"/>
  <c r="I90" i="9"/>
  <c r="D90" i="9"/>
  <c r="I89" i="9"/>
  <c r="D89" i="9"/>
  <c r="I88" i="9"/>
  <c r="D88" i="9"/>
  <c r="I87" i="9"/>
  <c r="D87" i="9"/>
  <c r="I86" i="9"/>
  <c r="D86" i="9"/>
  <c r="I85" i="9"/>
  <c r="D85" i="9"/>
  <c r="I84" i="9"/>
  <c r="D84" i="9"/>
  <c r="I83" i="9"/>
  <c r="D83" i="9"/>
  <c r="I82" i="9"/>
  <c r="D82" i="9"/>
  <c r="I81" i="9"/>
  <c r="D81" i="9"/>
  <c r="I80" i="9"/>
  <c r="D80" i="9"/>
  <c r="I79" i="9"/>
  <c r="D79" i="9"/>
  <c r="I78" i="9"/>
  <c r="D78" i="9"/>
  <c r="I77" i="9"/>
  <c r="D77" i="9"/>
  <c r="I76" i="9"/>
  <c r="D76" i="9"/>
  <c r="I75" i="9"/>
  <c r="D75" i="9"/>
  <c r="I74" i="9"/>
  <c r="D74" i="9"/>
  <c r="I73" i="9"/>
  <c r="D73" i="9"/>
  <c r="I72" i="9"/>
  <c r="D72" i="9"/>
  <c r="I71" i="9"/>
  <c r="D71" i="9"/>
  <c r="I70" i="9"/>
  <c r="D70" i="9"/>
  <c r="I69" i="9"/>
  <c r="D69" i="9"/>
  <c r="I68" i="9"/>
  <c r="D68" i="9"/>
  <c r="I67" i="9"/>
  <c r="D67" i="9"/>
  <c r="I66" i="9"/>
  <c r="D66" i="9"/>
  <c r="I65" i="9"/>
  <c r="D65" i="9"/>
  <c r="I64" i="9"/>
  <c r="D64" i="9"/>
  <c r="I63" i="9"/>
  <c r="D63" i="9"/>
  <c r="I62" i="9"/>
  <c r="D62" i="9"/>
  <c r="I61" i="9"/>
  <c r="D61" i="9"/>
  <c r="I60" i="9"/>
  <c r="D60" i="9"/>
  <c r="I59" i="9"/>
  <c r="D59" i="9"/>
  <c r="I58" i="9"/>
  <c r="D58" i="9"/>
  <c r="I57" i="9"/>
  <c r="D57" i="9"/>
  <c r="I56" i="9"/>
  <c r="D56" i="9"/>
  <c r="I55" i="9"/>
  <c r="D55" i="9"/>
  <c r="I54" i="9"/>
  <c r="D54" i="9"/>
  <c r="I53" i="9"/>
  <c r="D53" i="9"/>
  <c r="I52" i="9"/>
  <c r="D52" i="9"/>
  <c r="I51" i="9"/>
  <c r="D51" i="9"/>
  <c r="I50" i="9"/>
  <c r="D50" i="9"/>
  <c r="I49" i="9"/>
  <c r="D49" i="9"/>
  <c r="I48" i="9"/>
  <c r="D48" i="9"/>
  <c r="I47" i="9"/>
  <c r="D47" i="9"/>
  <c r="I46" i="9"/>
  <c r="D46" i="9"/>
  <c r="I45" i="9"/>
  <c r="D45" i="9"/>
  <c r="I44" i="9"/>
  <c r="D44" i="9"/>
  <c r="I43" i="9"/>
  <c r="D43" i="9"/>
  <c r="I42" i="9"/>
  <c r="D42" i="9"/>
  <c r="I41" i="9"/>
  <c r="D41" i="9"/>
  <c r="I40" i="9"/>
  <c r="D40" i="9"/>
  <c r="I39" i="9"/>
  <c r="D39" i="9"/>
  <c r="I38" i="9"/>
  <c r="D38" i="9"/>
  <c r="I37" i="9"/>
  <c r="D37" i="9"/>
  <c r="I36" i="9"/>
  <c r="D36" i="9"/>
  <c r="I35" i="9"/>
  <c r="D35" i="9"/>
  <c r="I34" i="9"/>
  <c r="D34" i="9"/>
  <c r="I33" i="9"/>
  <c r="D33" i="9"/>
  <c r="I32" i="9"/>
  <c r="D32" i="9"/>
  <c r="I31" i="9"/>
  <c r="D31" i="9"/>
  <c r="I30" i="9"/>
  <c r="D30" i="9"/>
  <c r="I29" i="9"/>
  <c r="D29" i="9"/>
  <c r="I28" i="9"/>
  <c r="D28" i="9"/>
  <c r="I27" i="9"/>
  <c r="D27" i="9"/>
  <c r="I26" i="9"/>
  <c r="D26" i="9"/>
  <c r="I25" i="9"/>
  <c r="D25" i="9"/>
  <c r="I24" i="9"/>
  <c r="D24" i="9"/>
  <c r="I23" i="9"/>
  <c r="D23" i="9"/>
  <c r="I22" i="9"/>
  <c r="D22" i="9"/>
  <c r="I21" i="9"/>
  <c r="D21" i="9"/>
  <c r="I20" i="9"/>
  <c r="D20" i="9"/>
  <c r="I19" i="9"/>
  <c r="D19" i="9"/>
  <c r="I18" i="9"/>
  <c r="D18" i="9"/>
  <c r="I17" i="9"/>
  <c r="D17" i="9"/>
  <c r="I16" i="9"/>
  <c r="D16" i="9"/>
  <c r="I15" i="9"/>
  <c r="D15" i="9"/>
  <c r="I14" i="9"/>
  <c r="D14" i="9"/>
  <c r="I13" i="9"/>
  <c r="D13" i="9"/>
  <c r="I12" i="9"/>
  <c r="D12" i="9"/>
  <c r="I11" i="9"/>
  <c r="D11" i="9"/>
  <c r="I10" i="9"/>
  <c r="D10" i="9"/>
  <c r="I9" i="9"/>
  <c r="D9" i="9"/>
  <c r="I8" i="9"/>
  <c r="D8" i="9"/>
  <c r="I7" i="9"/>
  <c r="P5" i="9" s="1"/>
  <c r="L5" i="9" s="1"/>
  <c r="L11" i="9" s="1"/>
  <c r="D7" i="9"/>
  <c r="L5" i="7"/>
  <c r="I110" i="7"/>
  <c r="D110" i="7"/>
  <c r="I109" i="7"/>
  <c r="D109" i="7"/>
  <c r="I108" i="7"/>
  <c r="D108" i="7"/>
  <c r="I107" i="7"/>
  <c r="D107" i="7"/>
  <c r="I106" i="7"/>
  <c r="D106" i="7"/>
  <c r="I105" i="7"/>
  <c r="D105" i="7"/>
  <c r="I104" i="7"/>
  <c r="D104" i="7"/>
  <c r="I103" i="7"/>
  <c r="D103" i="7"/>
  <c r="I102" i="7"/>
  <c r="D102" i="7"/>
  <c r="I101" i="7"/>
  <c r="D101" i="7"/>
  <c r="I100" i="7"/>
  <c r="D100" i="7"/>
  <c r="I99" i="7"/>
  <c r="D99" i="7"/>
  <c r="I98" i="7"/>
  <c r="D98" i="7"/>
  <c r="I97" i="7"/>
  <c r="D97" i="7"/>
  <c r="I96" i="7"/>
  <c r="D96" i="7"/>
  <c r="I95" i="7"/>
  <c r="D95" i="7"/>
  <c r="I94" i="7"/>
  <c r="D94" i="7"/>
  <c r="I93" i="7"/>
  <c r="D93" i="7"/>
  <c r="I92" i="7"/>
  <c r="D92" i="7"/>
  <c r="I91" i="7"/>
  <c r="D91" i="7"/>
  <c r="I90" i="7"/>
  <c r="D90" i="7"/>
  <c r="I89" i="7"/>
  <c r="D89" i="7"/>
  <c r="I88" i="7"/>
  <c r="D88" i="7"/>
  <c r="I87" i="7"/>
  <c r="D87" i="7"/>
  <c r="I86" i="7"/>
  <c r="D86" i="7"/>
  <c r="I85" i="7"/>
  <c r="D85" i="7"/>
  <c r="I84" i="7"/>
  <c r="D84" i="7"/>
  <c r="I83" i="7"/>
  <c r="D83" i="7"/>
  <c r="I82" i="7"/>
  <c r="D82" i="7"/>
  <c r="I81" i="7"/>
  <c r="D81" i="7"/>
  <c r="I80" i="7"/>
  <c r="D80" i="7"/>
  <c r="I79" i="7"/>
  <c r="D79" i="7"/>
  <c r="I78" i="7"/>
  <c r="D78" i="7"/>
  <c r="I77" i="7"/>
  <c r="D77" i="7"/>
  <c r="I76" i="7"/>
  <c r="D76" i="7"/>
  <c r="I75" i="7"/>
  <c r="D75" i="7"/>
  <c r="I74" i="7"/>
  <c r="D74" i="7"/>
  <c r="I73" i="7"/>
  <c r="D73" i="7"/>
  <c r="I72" i="7"/>
  <c r="D72" i="7"/>
  <c r="I71" i="7"/>
  <c r="D71" i="7"/>
  <c r="I70" i="7"/>
  <c r="D70" i="7"/>
  <c r="I69" i="7"/>
  <c r="D69" i="7"/>
  <c r="I68" i="7"/>
  <c r="D68" i="7"/>
  <c r="I67" i="7"/>
  <c r="D67" i="7"/>
  <c r="I66" i="7"/>
  <c r="D66" i="7"/>
  <c r="I65" i="7"/>
  <c r="D65" i="7"/>
  <c r="I64" i="7"/>
  <c r="D64" i="7"/>
  <c r="I63" i="7"/>
  <c r="D63" i="7"/>
  <c r="I62" i="7"/>
  <c r="D62" i="7"/>
  <c r="I61" i="7"/>
  <c r="D61" i="7"/>
  <c r="I60" i="7"/>
  <c r="D60" i="7"/>
  <c r="I59" i="7"/>
  <c r="D59" i="7"/>
  <c r="I58" i="7"/>
  <c r="D58" i="7"/>
  <c r="I57" i="7"/>
  <c r="D57" i="7"/>
  <c r="I56" i="7"/>
  <c r="D56" i="7"/>
  <c r="I55" i="7"/>
  <c r="D55" i="7"/>
  <c r="I54" i="7"/>
  <c r="D54" i="7"/>
  <c r="I53" i="7"/>
  <c r="D53" i="7"/>
  <c r="I52" i="7"/>
  <c r="D52" i="7"/>
  <c r="I51" i="7"/>
  <c r="D51" i="7"/>
  <c r="I50" i="7"/>
  <c r="D50" i="7"/>
  <c r="I49" i="7"/>
  <c r="D49" i="7"/>
  <c r="I48" i="7"/>
  <c r="D48" i="7"/>
  <c r="I47" i="7"/>
  <c r="D47" i="7"/>
  <c r="I46" i="7"/>
  <c r="D46" i="7"/>
  <c r="I45" i="7"/>
  <c r="D45" i="7"/>
  <c r="I44" i="7"/>
  <c r="D44" i="7"/>
  <c r="I43" i="7"/>
  <c r="D43" i="7"/>
  <c r="I42" i="7"/>
  <c r="D42" i="7"/>
  <c r="I41" i="7"/>
  <c r="D41" i="7"/>
  <c r="I40" i="7"/>
  <c r="D40" i="7"/>
  <c r="I39" i="7"/>
  <c r="D39" i="7"/>
  <c r="I38" i="7"/>
  <c r="D38" i="7"/>
  <c r="I37" i="7"/>
  <c r="D37" i="7"/>
  <c r="I36" i="7"/>
  <c r="D36" i="7"/>
  <c r="I35" i="7"/>
  <c r="D35" i="7"/>
  <c r="I34" i="7"/>
  <c r="D34" i="7"/>
  <c r="I33" i="7"/>
  <c r="D33" i="7"/>
  <c r="I32" i="7"/>
  <c r="D32" i="7"/>
  <c r="I31" i="7"/>
  <c r="D31" i="7"/>
  <c r="I30" i="7"/>
  <c r="D30" i="7"/>
  <c r="I29" i="7"/>
  <c r="D29" i="7"/>
  <c r="I28" i="7"/>
  <c r="D28" i="7"/>
  <c r="I27" i="7"/>
  <c r="D27" i="7"/>
  <c r="I26" i="7"/>
  <c r="D26" i="7"/>
  <c r="I25" i="7"/>
  <c r="D25" i="7"/>
  <c r="I24" i="7"/>
  <c r="D24" i="7"/>
  <c r="I23" i="7"/>
  <c r="D23" i="7"/>
  <c r="I22" i="7"/>
  <c r="D22" i="7"/>
  <c r="I21" i="7"/>
  <c r="D21" i="7"/>
  <c r="I20" i="7"/>
  <c r="D20" i="7"/>
  <c r="I19" i="7"/>
  <c r="D19" i="7"/>
  <c r="I18" i="7"/>
  <c r="D18" i="7"/>
  <c r="I17" i="7"/>
  <c r="D17" i="7"/>
  <c r="I16" i="7"/>
  <c r="D16" i="7"/>
  <c r="I15" i="7"/>
  <c r="D15" i="7"/>
  <c r="I14" i="7"/>
  <c r="D14" i="7"/>
  <c r="I13" i="7"/>
  <c r="D13" i="7"/>
  <c r="I12" i="7"/>
  <c r="D12" i="7"/>
  <c r="I11" i="7"/>
  <c r="D11" i="7"/>
  <c r="I10" i="7"/>
  <c r="D10" i="7"/>
  <c r="I9" i="7"/>
  <c r="D9" i="7"/>
  <c r="I8" i="7"/>
  <c r="D8" i="7"/>
  <c r="I7" i="7"/>
  <c r="P5" i="7" s="1"/>
  <c r="D7" i="7"/>
  <c r="L11" i="7"/>
  <c r="I110" i="5"/>
  <c r="D110" i="5"/>
  <c r="I109" i="5"/>
  <c r="D109" i="5"/>
  <c r="I108" i="5"/>
  <c r="D108" i="5"/>
  <c r="I107" i="5"/>
  <c r="D107" i="5"/>
  <c r="I106" i="5"/>
  <c r="D106" i="5"/>
  <c r="I105" i="5"/>
  <c r="D105" i="5"/>
  <c r="I104" i="5"/>
  <c r="D104" i="5"/>
  <c r="I103" i="5"/>
  <c r="D103" i="5"/>
  <c r="I102" i="5"/>
  <c r="D102" i="5"/>
  <c r="I101" i="5"/>
  <c r="D101" i="5"/>
  <c r="I100" i="5"/>
  <c r="D100" i="5"/>
  <c r="I99" i="5"/>
  <c r="D99" i="5"/>
  <c r="I98" i="5"/>
  <c r="D98" i="5"/>
  <c r="I97" i="5"/>
  <c r="D97" i="5"/>
  <c r="I96" i="5"/>
  <c r="D96" i="5"/>
  <c r="I95" i="5"/>
  <c r="D95" i="5"/>
  <c r="I94" i="5"/>
  <c r="D94" i="5"/>
  <c r="I93" i="5"/>
  <c r="D93" i="5"/>
  <c r="I92" i="5"/>
  <c r="D92" i="5"/>
  <c r="I91" i="5"/>
  <c r="D91" i="5"/>
  <c r="I90" i="5"/>
  <c r="D90" i="5"/>
  <c r="I89" i="5"/>
  <c r="D89" i="5"/>
  <c r="I88" i="5"/>
  <c r="D88" i="5"/>
  <c r="I87" i="5"/>
  <c r="D87" i="5"/>
  <c r="I86" i="5"/>
  <c r="D86" i="5"/>
  <c r="I85" i="5"/>
  <c r="D85" i="5"/>
  <c r="I84" i="5"/>
  <c r="D84" i="5"/>
  <c r="I83" i="5"/>
  <c r="D83" i="5"/>
  <c r="I82" i="5"/>
  <c r="D82" i="5"/>
  <c r="I81" i="5"/>
  <c r="D81" i="5"/>
  <c r="I80" i="5"/>
  <c r="D80" i="5"/>
  <c r="I79" i="5"/>
  <c r="D79" i="5"/>
  <c r="I78" i="5"/>
  <c r="D78" i="5"/>
  <c r="I77" i="5"/>
  <c r="D77" i="5"/>
  <c r="I76" i="5"/>
  <c r="D76" i="5"/>
  <c r="I75" i="5"/>
  <c r="D75" i="5"/>
  <c r="I74" i="5"/>
  <c r="D74" i="5"/>
  <c r="I73" i="5"/>
  <c r="D73" i="5"/>
  <c r="I72" i="5"/>
  <c r="D72" i="5"/>
  <c r="I71" i="5"/>
  <c r="D71" i="5"/>
  <c r="I70" i="5"/>
  <c r="D70" i="5"/>
  <c r="I69" i="5"/>
  <c r="D69" i="5"/>
  <c r="I68" i="5"/>
  <c r="D68" i="5"/>
  <c r="I67" i="5"/>
  <c r="D67" i="5"/>
  <c r="I66" i="5"/>
  <c r="D66" i="5"/>
  <c r="I65" i="5"/>
  <c r="D65" i="5"/>
  <c r="I64" i="5"/>
  <c r="D64" i="5"/>
  <c r="I63" i="5"/>
  <c r="D63" i="5"/>
  <c r="I62" i="5"/>
  <c r="D62" i="5"/>
  <c r="I61" i="5"/>
  <c r="D61" i="5"/>
  <c r="I60" i="5"/>
  <c r="D60" i="5"/>
  <c r="I59" i="5"/>
  <c r="D59" i="5"/>
  <c r="I58" i="5"/>
  <c r="D58" i="5"/>
  <c r="I57" i="5"/>
  <c r="D57" i="5"/>
  <c r="I56" i="5"/>
  <c r="D56" i="5"/>
  <c r="I55" i="5"/>
  <c r="D55" i="5"/>
  <c r="I54" i="5"/>
  <c r="D54" i="5"/>
  <c r="I53" i="5"/>
  <c r="D53" i="5"/>
  <c r="I52" i="5"/>
  <c r="D52" i="5"/>
  <c r="I51" i="5"/>
  <c r="D51" i="5"/>
  <c r="I50" i="5"/>
  <c r="D50" i="5"/>
  <c r="I49" i="5"/>
  <c r="D49" i="5"/>
  <c r="I48" i="5"/>
  <c r="D48" i="5"/>
  <c r="I47" i="5"/>
  <c r="D47" i="5"/>
  <c r="I46" i="5"/>
  <c r="D46" i="5"/>
  <c r="I45" i="5"/>
  <c r="D45" i="5"/>
  <c r="I44" i="5"/>
  <c r="D44" i="5"/>
  <c r="I43" i="5"/>
  <c r="D43" i="5"/>
  <c r="I42" i="5"/>
  <c r="D42" i="5"/>
  <c r="I41" i="5"/>
  <c r="D41" i="5"/>
  <c r="I40" i="5"/>
  <c r="D40" i="5"/>
  <c r="I39" i="5"/>
  <c r="D39" i="5"/>
  <c r="I38" i="5"/>
  <c r="D38" i="5"/>
  <c r="I37" i="5"/>
  <c r="D37" i="5"/>
  <c r="I36" i="5"/>
  <c r="D36" i="5"/>
  <c r="I35" i="5"/>
  <c r="D35" i="5"/>
  <c r="I34" i="5"/>
  <c r="D34" i="5"/>
  <c r="I33" i="5"/>
  <c r="D33" i="5"/>
  <c r="I32" i="5"/>
  <c r="D32" i="5"/>
  <c r="I31" i="5"/>
  <c r="D31" i="5"/>
  <c r="I30" i="5"/>
  <c r="D30" i="5"/>
  <c r="I29" i="5"/>
  <c r="D29" i="5"/>
  <c r="I28" i="5"/>
  <c r="D28" i="5"/>
  <c r="I27" i="5"/>
  <c r="D27" i="5"/>
  <c r="I26" i="5"/>
  <c r="D26" i="5"/>
  <c r="I25" i="5"/>
  <c r="D25" i="5"/>
  <c r="I24" i="5"/>
  <c r="D24" i="5"/>
  <c r="I23" i="5"/>
  <c r="D23" i="5"/>
  <c r="I22" i="5"/>
  <c r="D22" i="5"/>
  <c r="I21" i="5"/>
  <c r="D21" i="5"/>
  <c r="I20" i="5"/>
  <c r="D20" i="5"/>
  <c r="I19" i="5"/>
  <c r="D19" i="5"/>
  <c r="I18" i="5"/>
  <c r="D18" i="5"/>
  <c r="I17" i="5"/>
  <c r="D17" i="5"/>
  <c r="I16" i="5"/>
  <c r="D16" i="5"/>
  <c r="I15" i="5"/>
  <c r="D15" i="5"/>
  <c r="I14" i="5"/>
  <c r="D14" i="5"/>
  <c r="I13" i="5"/>
  <c r="D13" i="5"/>
  <c r="I12" i="5"/>
  <c r="D12" i="5"/>
  <c r="I11" i="5"/>
  <c r="D11" i="5"/>
  <c r="I10" i="5"/>
  <c r="D10" i="5"/>
  <c r="I9" i="5"/>
  <c r="D9" i="5"/>
  <c r="I8" i="5"/>
  <c r="D8" i="5"/>
  <c r="I7" i="5"/>
  <c r="D7" i="5"/>
  <c r="P6" i="2"/>
  <c r="L5" i="2" s="1"/>
  <c r="L11" i="2" s="1"/>
  <c r="P5" i="8" l="1"/>
  <c r="L5" i="8" s="1"/>
  <c r="L11" i="8" s="1"/>
  <c r="P4" i="8"/>
  <c r="P4" i="9"/>
  <c r="P4" i="5"/>
  <c r="P4" i="7"/>
  <c r="P5" i="5"/>
  <c r="L5" i="5" s="1"/>
  <c r="L11" i="5" s="1"/>
  <c r="I110" i="2" l="1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K11" i="1"/>
  <c r="K18" i="1" s="1"/>
  <c r="J11" i="1"/>
  <c r="M11" i="1" s="1"/>
  <c r="R33" i="1"/>
  <c r="F34" i="1"/>
  <c r="G34" i="1" s="1"/>
  <c r="H34" i="1" s="1"/>
  <c r="H25" i="1"/>
  <c r="I18" i="1"/>
  <c r="L17" i="1"/>
  <c r="I17" i="1"/>
  <c r="K15" i="1"/>
  <c r="K14" i="1"/>
  <c r="K13" i="1"/>
  <c r="K12" i="1"/>
  <c r="J15" i="1"/>
  <c r="M15" i="1" s="1"/>
  <c r="J14" i="1"/>
  <c r="M14" i="1" s="1"/>
  <c r="J13" i="1"/>
  <c r="M13" i="1" s="1"/>
  <c r="J12" i="1"/>
  <c r="M12" i="1" s="1"/>
  <c r="M17" i="1" l="1"/>
  <c r="M18" i="1"/>
  <c r="R31" i="1" s="1"/>
  <c r="G33" i="1"/>
  <c r="G32" i="1"/>
  <c r="P4" i="2"/>
  <c r="P5" i="2"/>
  <c r="J18" i="1"/>
  <c r="K17" i="1"/>
  <c r="H32" i="1" s="1"/>
  <c r="J17" i="1"/>
  <c r="G36" i="1" l="1"/>
  <c r="H33" i="1"/>
  <c r="H36" i="1" l="1"/>
  <c r="R32" i="1" s="1"/>
  <c r="R34" i="1" s="1"/>
  <c r="Q25" i="1" s="1"/>
  <c r="Q26" i="1" l="1"/>
</calcChain>
</file>

<file path=xl/sharedStrings.xml><?xml version="1.0" encoding="utf-8"?>
<sst xmlns="http://schemas.openxmlformats.org/spreadsheetml/2006/main" count="319" uniqueCount="123">
  <si>
    <t>weighted average cost of capital</t>
  </si>
  <si>
    <t>all figures are in inr unless stated otherwise</t>
  </si>
  <si>
    <t>Peer comps</t>
  </si>
  <si>
    <t>name of the comp</t>
  </si>
  <si>
    <t>country</t>
  </si>
  <si>
    <t>total debt</t>
  </si>
  <si>
    <t>total equity</t>
  </si>
  <si>
    <r>
      <t xml:space="preserve">taxrate </t>
    </r>
    <r>
      <rPr>
        <vertAlign val="superscript"/>
        <sz val="11"/>
        <color theme="1"/>
        <rFont val="Calibri"/>
        <family val="2"/>
      </rPr>
      <t>1</t>
    </r>
  </si>
  <si>
    <t>debt/</t>
  </si>
  <si>
    <t>equity</t>
  </si>
  <si>
    <t>capital</t>
  </si>
  <si>
    <t>levered</t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</si>
  <si>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</si>
  <si>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</si>
  <si>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</si>
  <si>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</si>
  <si>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average</t>
  </si>
  <si>
    <t>median</t>
  </si>
  <si>
    <t>Cost of Debt</t>
  </si>
  <si>
    <t>pre-tax cost of debt</t>
  </si>
  <si>
    <t>tax rate</t>
  </si>
  <si>
    <t>post tax cost of debt</t>
  </si>
  <si>
    <t>Equity</t>
  </si>
  <si>
    <t>rist free rate</t>
  </si>
  <si>
    <t>equity risk premium</t>
  </si>
  <si>
    <t>levered beta</t>
  </si>
  <si>
    <t>cost of equity</t>
  </si>
  <si>
    <t>Capital Structure</t>
  </si>
  <si>
    <t xml:space="preserve">current </t>
  </si>
  <si>
    <t>target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</si>
  <si>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</si>
  <si>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makret capitalization</t>
  </si>
  <si>
    <t>total capital</t>
  </si>
  <si>
    <t>comps median unlevered beta</t>
  </si>
  <si>
    <t>target debt/equity</t>
  </si>
  <si>
    <t>debt/equity</t>
  </si>
  <si>
    <t>notes:</t>
  </si>
  <si>
    <t>1. tax rate considered as marginal tax rate for the country</t>
  </si>
  <si>
    <t>2. levered beta is based on 5 year monthly data</t>
  </si>
  <si>
    <t>3. unlevered beta = levered beta(1+(1-tax rate)*(debt/equity)</t>
  </si>
  <si>
    <t xml:space="preserve">dmart </t>
  </si>
  <si>
    <t>nifty</t>
  </si>
  <si>
    <t>date</t>
  </si>
  <si>
    <t>prices</t>
  </si>
  <si>
    <t>beta 1</t>
  </si>
  <si>
    <t xml:space="preserve">beta 3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</si>
  <si>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</si>
  <si>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</si>
  <si>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</si>
  <si>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</si>
  <si>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</si>
  <si>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</si>
  <si>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</si>
  <si>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</si>
  <si>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</si>
  <si>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</si>
  <si>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</si>
  <si>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</si>
  <si>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</si>
  <si>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</si>
  <si>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</si>
  <si>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</si>
  <si>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</si>
  <si>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</si>
  <si>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</si>
  <si>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</si>
  <si>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</si>
  <si>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</si>
  <si>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X Variable 1</t>
  </si>
  <si>
    <t>weekly return</t>
  </si>
  <si>
    <t>Lower 95.0%</t>
  </si>
  <si>
    <t>Upper 95.0%</t>
  </si>
  <si>
    <t>beta 2</t>
  </si>
  <si>
    <t xml:space="preserve">these are the three ways </t>
  </si>
  <si>
    <t>of finding beta :</t>
  </si>
  <si>
    <t>beta drifting</t>
  </si>
  <si>
    <t>market beta weight=</t>
  </si>
  <si>
    <t>beta weigth</t>
  </si>
  <si>
    <t xml:space="preserve">levered raw beta </t>
  </si>
  <si>
    <t xml:space="preserve">market beta   </t>
  </si>
  <si>
    <t>adjusted beta</t>
  </si>
  <si>
    <t>Ticker</t>
  </si>
  <si>
    <t>Market Cap</t>
  </si>
  <si>
    <t>Total Debt</t>
  </si>
  <si>
    <t>Debt to Equity</t>
  </si>
  <si>
    <t>DMART.NS</t>
  </si>
  <si>
    <t>TRENT.NS</t>
  </si>
  <si>
    <t>MANYAVAR.NS</t>
  </si>
  <si>
    <t>ABFRL.NS</t>
  </si>
  <si>
    <t>METROBRAND.NS</t>
  </si>
  <si>
    <t>Sum</t>
  </si>
  <si>
    <t>Average</t>
  </si>
  <si>
    <t>Running Total</t>
  </si>
  <si>
    <t>Count</t>
  </si>
  <si>
    <t>Date</t>
  </si>
  <si>
    <t>TRENT</t>
  </si>
  <si>
    <t>MANYAVAR</t>
  </si>
  <si>
    <t>ABFRL</t>
  </si>
  <si>
    <t>ADN</t>
  </si>
  <si>
    <t>METROBRAND</t>
  </si>
  <si>
    <t>trent</t>
  </si>
  <si>
    <t>manvyavar</t>
  </si>
  <si>
    <t>abfrl</t>
  </si>
  <si>
    <t>metrobrand</t>
  </si>
  <si>
    <t>avenue supermart</t>
  </si>
  <si>
    <t>vedant fashions</t>
  </si>
  <si>
    <t>aditya birla fashion</t>
  </si>
  <si>
    <t>mtero brands</t>
  </si>
  <si>
    <t>(find from investing.com india 10 yr data)</t>
  </si>
  <si>
    <t>(our prefrence should be peer company beta)</t>
  </si>
  <si>
    <t>Year</t>
  </si>
  <si>
    <t>Annual</t>
  </si>
  <si>
    <t>average return</t>
  </si>
  <si>
    <t>dividend yield</t>
  </si>
  <si>
    <r>
      <t>1.39%</t>
    </r>
    <r>
      <rPr>
        <vertAlign val="superscript"/>
        <sz val="11"/>
        <color theme="1"/>
        <rFont val="Calibri"/>
        <family val="2"/>
      </rPr>
      <t>1</t>
    </r>
  </si>
  <si>
    <t>total market return</t>
  </si>
  <si>
    <t>(this data has benn extracted from prime investor.in)</t>
  </si>
  <si>
    <t>NIFTY yearly returns from 2000 to 2025</t>
  </si>
  <si>
    <t>equity weight</t>
  </si>
  <si>
    <t>cost of debt</t>
  </si>
  <si>
    <t>debt weight</t>
  </si>
  <si>
    <t>WACC</t>
  </si>
  <si>
    <t>(this is not valuation of wacc, its just a modelling of wacc)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</si>
</sst>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/mm/yyyy;@"/>
    <numFmt numFmtId="169" formatCode="yyyy\-mm\-dd;@"/>
    <numFmt numFmtId="170" formatCode="0.0000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theme="8" tint="-0.249977111117893"/>
      <name val="Calibri"/>
      <family val="2"/>
    </font>
    <font>
      <i/>
      <sz val="9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6" fillId="0" borderId="0" xfId="0" applyFont="1"/>
    <xf numFmtId="10" fontId="0" fillId="0" borderId="0" xfId="1" applyNumberFormat="1" applyFont="1"/>
    <xf numFmtId="10" fontId="0" fillId="3" borderId="0" xfId="1" applyNumberFormat="1" applyFont="1" applyFill="1"/>
    <xf numFmtId="2" fontId="0" fillId="3" borderId="0" xfId="1" applyNumberFormat="1" applyFont="1" applyFill="1"/>
    <xf numFmtId="9" fontId="6" fillId="0" borderId="0" xfId="1" applyFont="1"/>
    <xf numFmtId="9" fontId="0" fillId="0" borderId="0" xfId="0" applyNumberFormat="1"/>
    <xf numFmtId="2" fontId="0" fillId="0" borderId="0" xfId="0" applyNumberFormat="1"/>
    <xf numFmtId="0" fontId="2" fillId="0" borderId="3" xfId="0" applyFont="1" applyBorder="1"/>
    <xf numFmtId="9" fontId="0" fillId="0" borderId="3" xfId="0" applyNumberFormat="1" applyBorder="1"/>
    <xf numFmtId="10" fontId="0" fillId="0" borderId="3" xfId="1" applyNumberFormat="1" applyFont="1" applyBorder="1"/>
    <xf numFmtId="2" fontId="0" fillId="0" borderId="3" xfId="0" applyNumberFormat="1" applyBorder="1"/>
    <xf numFmtId="0" fontId="2" fillId="0" borderId="4" xfId="0" applyFont="1" applyBorder="1"/>
    <xf numFmtId="9" fontId="0" fillId="0" borderId="4" xfId="0" applyNumberFormat="1" applyBorder="1"/>
    <xf numFmtId="10" fontId="0" fillId="0" borderId="4" xfId="1" applyNumberFormat="1" applyFont="1" applyBorder="1"/>
    <xf numFmtId="2" fontId="0" fillId="0" borderId="4" xfId="0" applyNumberFormat="1" applyBorder="1"/>
    <xf numFmtId="0" fontId="0" fillId="0" borderId="4" xfId="0" applyBorder="1"/>
    <xf numFmtId="10" fontId="0" fillId="0" borderId="0" xfId="0" applyNumberFormat="1"/>
    <xf numFmtId="0" fontId="0" fillId="0" borderId="5" xfId="0" applyBorder="1"/>
    <xf numFmtId="0" fontId="2" fillId="0" borderId="4" xfId="0" applyFont="1" applyBorder="1" applyAlignment="1">
      <alignment horizontal="right"/>
    </xf>
    <xf numFmtId="10" fontId="0" fillId="0" borderId="5" xfId="1" applyNumberFormat="1" applyFont="1" applyBorder="1"/>
    <xf numFmtId="10" fontId="6" fillId="0" borderId="0" xfId="0" applyNumberFormat="1" applyFont="1"/>
    <xf numFmtId="10" fontId="0" fillId="0" borderId="5" xfId="0" applyNumberFormat="1" applyBorder="1"/>
    <xf numFmtId="0" fontId="0" fillId="0" borderId="6" xfId="0" applyBorder="1"/>
    <xf numFmtId="10" fontId="0" fillId="3" borderId="0" xfId="0" applyNumberFormat="1" applyFill="1"/>
    <xf numFmtId="2" fontId="0" fillId="0" borderId="5" xfId="0" applyNumberFormat="1" applyBorder="1"/>
    <xf numFmtId="2" fontId="0" fillId="3" borderId="6" xfId="0" applyNumberFormat="1" applyFill="1" applyBorder="1"/>
    <xf numFmtId="9" fontId="6" fillId="0" borderId="5" xfId="0" applyNumberFormat="1" applyFont="1" applyBorder="1"/>
    <xf numFmtId="0" fontId="7" fillId="0" borderId="0" xfId="0" applyFont="1"/>
    <xf numFmtId="0" fontId="10" fillId="0" borderId="0" xfId="0" applyFont="1" applyBorder="1" applyAlignment="1">
      <alignment horizontal="centerContinuous"/>
    </xf>
    <xf numFmtId="0" fontId="0" fillId="0" borderId="0" xfId="0" applyBorder="1"/>
    <xf numFmtId="0" fontId="10" fillId="0" borderId="0" xfId="0" applyFont="1" applyBorder="1" applyAlignment="1">
      <alignment horizontal="center"/>
    </xf>
    <xf numFmtId="10" fontId="0" fillId="0" borderId="9" xfId="1" applyNumberFormat="1" applyFont="1" applyBorder="1"/>
    <xf numFmtId="10" fontId="0" fillId="0" borderId="10" xfId="1" applyNumberFormat="1" applyFont="1" applyBorder="1"/>
    <xf numFmtId="10" fontId="0" fillId="0" borderId="11" xfId="1" applyNumberFormat="1" applyFont="1" applyBorder="1"/>
    <xf numFmtId="164" fontId="9" fillId="0" borderId="15" xfId="0" applyNumberFormat="1" applyFont="1" applyBorder="1" applyAlignment="1">
      <alignment horizontal="center" vertical="top"/>
    </xf>
    <xf numFmtId="164" fontId="0" fillId="0" borderId="15" xfId="0" applyNumberFormat="1" applyBorder="1"/>
    <xf numFmtId="0" fontId="0" fillId="0" borderId="0" xfId="0" applyFill="1" applyBorder="1" applyAlignment="1"/>
    <xf numFmtId="0" fontId="0" fillId="0" borderId="4" xfId="0" applyFill="1" applyBorder="1" applyAlignment="1"/>
    <xf numFmtId="0" fontId="11" fillId="0" borderId="8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Continuous"/>
    </xf>
    <xf numFmtId="0" fontId="8" fillId="4" borderId="0" xfId="0" applyFont="1" applyFill="1"/>
    <xf numFmtId="0" fontId="8" fillId="4" borderId="0" xfId="0" applyFont="1" applyFill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0" fillId="5" borderId="0" xfId="0" applyFill="1" applyBorder="1"/>
    <xf numFmtId="0" fontId="0" fillId="5" borderId="0" xfId="0" applyFill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2" fillId="0" borderId="12" xfId="0" applyFont="1" applyBorder="1"/>
    <xf numFmtId="0" fontId="0" fillId="0" borderId="12" xfId="0" applyBorder="1"/>
    <xf numFmtId="0" fontId="2" fillId="0" borderId="13" xfId="0" applyFont="1" applyBorder="1"/>
    <xf numFmtId="0" fontId="0" fillId="0" borderId="13" xfId="0" applyBorder="1"/>
    <xf numFmtId="0" fontId="2" fillId="0" borderId="14" xfId="0" applyFont="1" applyBorder="1"/>
    <xf numFmtId="0" fontId="0" fillId="0" borderId="14" xfId="0" applyBorder="1"/>
    <xf numFmtId="0" fontId="12" fillId="0" borderId="7" xfId="0" applyFont="1" applyBorder="1" applyAlignment="1">
      <alignment horizontal="center" vertical="top"/>
    </xf>
    <xf numFmtId="0" fontId="0" fillId="0" borderId="12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12" fillId="0" borderId="0" xfId="0" applyFont="1" applyBorder="1" applyAlignment="1">
      <alignment horizontal="center" vertical="top"/>
    </xf>
    <xf numFmtId="169" fontId="12" fillId="0" borderId="0" xfId="0" applyNumberFormat="1" applyFont="1" applyBorder="1" applyAlignment="1">
      <alignment horizontal="center" vertical="top"/>
    </xf>
    <xf numFmtId="2" fontId="0" fillId="0" borderId="0" xfId="0" applyNumberFormat="1" applyBorder="1"/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ont="1"/>
    <xf numFmtId="0" fontId="0" fillId="0" borderId="5" xfId="0" applyFont="1" applyBorder="1"/>
    <xf numFmtId="10" fontId="0" fillId="0" borderId="0" xfId="0" applyNumberFormat="1" applyFont="1"/>
    <xf numFmtId="170" fontId="0" fillId="0" borderId="0" xfId="0" applyNumberFormat="1" applyFont="1"/>
    <xf numFmtId="10" fontId="0" fillId="0" borderId="0" xfId="0" applyNumberFormat="1" applyAlignment="1">
      <alignment horizontal="right"/>
    </xf>
    <xf numFmtId="10" fontId="2" fillId="0" borderId="0" xfId="0" applyNumberFormat="1" applyFont="1"/>
    <xf numFmtId="10" fontId="0" fillId="0" borderId="0" xfId="0" applyNumberFormat="1" applyBorder="1"/>
    <xf numFmtId="0" fontId="0" fillId="0" borderId="0" xfId="0" applyFill="1" applyBorder="1"/>
    <xf numFmtId="10" fontId="0" fillId="6" borderId="0" xfId="1" applyNumberFormat="1" applyFont="1" applyFill="1" applyBorder="1"/>
    <xf numFmtId="0" fontId="0" fillId="7" borderId="0" xfId="0" applyFill="1"/>
    <xf numFmtId="10" fontId="0" fillId="7" borderId="0" xfId="1" applyNumberFormat="1" applyFont="1" applyFill="1"/>
    <xf numFmtId="0" fontId="0" fillId="8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27EE-8248-4AE8-BE25-E8FA050B7561}">
  <sheetPr>
    <pageSetUpPr autoPageBreaks="0"/>
  </sheetPr>
  <dimension ref="B2:R44"/>
  <sheetViews>
    <sheetView showGridLines="0" tabSelected="1" zoomScale="95" zoomScaleNormal="100" workbookViewId="0">
      <selection activeCell="L2" sqref="L2"/>
    </sheetView>
  </sheetViews>
  <sheetFormatPr defaultRowHeight="14.5" x14ac:dyDescent="0.35"/>
  <cols>
    <col min="1" max="1" width="2.1796875" customWidth="1"/>
    <col min="2" max="2" width="19.1796875" bestFit="1" customWidth="1"/>
    <col min="6" max="6" width="7.1796875" bestFit="1" customWidth="1"/>
    <col min="7" max="7" width="12.453125" bestFit="1" customWidth="1"/>
    <col min="8" max="8" width="17.1796875" bestFit="1" customWidth="1"/>
    <col min="9" max="9" width="6.7265625" bestFit="1" customWidth="1"/>
    <col min="10" max="10" width="7" bestFit="1" customWidth="1"/>
    <col min="12" max="13" width="9.36328125" bestFit="1" customWidth="1"/>
    <col min="17" max="17" width="19.81640625" bestFit="1" customWidth="1"/>
    <col min="18" max="18" width="20.81640625" bestFit="1" customWidth="1"/>
  </cols>
  <sheetData>
    <row r="2" spans="2:17" ht="18.5" x14ac:dyDescent="0.45">
      <c r="B2" s="2" t="s">
        <v>0</v>
      </c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2:17" x14ac:dyDescent="0.35">
      <c r="B4" s="4" t="s">
        <v>1</v>
      </c>
      <c r="C4" s="4"/>
      <c r="D4" s="4"/>
      <c r="E4" s="4"/>
      <c r="F4" s="4"/>
    </row>
    <row r="5" spans="2:17" x14ac:dyDescent="0.35">
      <c r="F5" s="86" t="s">
        <v>122</v>
      </c>
      <c r="G5" s="86"/>
      <c r="H5" s="86"/>
      <c r="I5" s="86"/>
      <c r="J5" s="86"/>
    </row>
    <row r="7" spans="2:17" ht="15" thickBot="1" x14ac:dyDescent="0.4">
      <c r="B7" s="1" t="s">
        <v>2</v>
      </c>
    </row>
    <row r="8" spans="2:17" ht="15" thickTop="1" x14ac:dyDescent="0.35">
      <c r="B8" s="5"/>
      <c r="C8" s="5"/>
      <c r="D8" s="5"/>
      <c r="E8" s="5"/>
      <c r="F8" s="5"/>
      <c r="G8" s="5"/>
      <c r="H8" s="5"/>
      <c r="I8" s="5"/>
      <c r="J8" s="5" t="s">
        <v>8</v>
      </c>
      <c r="K8" s="5" t="s">
        <v>8</v>
      </c>
      <c r="L8" s="5" t="s">
        <v>11</v>
      </c>
      <c r="M8" s="5" t="s">
        <v>12</v>
      </c>
    </row>
    <row r="9" spans="2:17" ht="17" thickBot="1" x14ac:dyDescent="0.4">
      <c r="B9" s="6" t="s">
        <v>3</v>
      </c>
      <c r="C9" s="6"/>
      <c r="D9" s="6"/>
      <c r="E9" s="6"/>
      <c r="F9" s="6" t="s">
        <v>4</v>
      </c>
      <c r="G9" s="6" t="s">
        <v>5</v>
      </c>
      <c r="H9" s="6" t="s">
        <v>6</v>
      </c>
      <c r="I9" s="6" t="s">
        <v>7</v>
      </c>
      <c r="J9" s="6" t="s">
        <v>9</v>
      </c>
      <c r="K9" s="6" t="s">
        <v>10</v>
      </c>
      <c r="L9" s="6" t="s">
        <v>13</v>
      </c>
      <c r="M9" s="6" t="s">
        <v>14</v>
      </c>
    </row>
    <row r="10" spans="2:17" ht="15" thickTop="1" x14ac:dyDescent="0.35"/>
    <row r="11" spans="2:17" x14ac:dyDescent="0.35">
      <c r="B11" s="7" t="s">
        <v>104</v>
      </c>
      <c r="C11" s="7"/>
      <c r="D11" s="7"/>
      <c r="E11" s="7"/>
      <c r="F11" s="7" t="s">
        <v>15</v>
      </c>
      <c r="G11">
        <f>'beta-comps'!E5</f>
        <v>16091899904</v>
      </c>
      <c r="H11" s="13">
        <f>'beta-comps'!D5</f>
        <v>2605665222656</v>
      </c>
      <c r="I11" s="11">
        <v>0.3</v>
      </c>
      <c r="J11" s="9">
        <f>G11/H11</f>
        <v>6.1757357637821355E-3</v>
      </c>
      <c r="K11" s="9">
        <f>G11/(G11+H11)</f>
        <v>6.1378301466335503E-3</v>
      </c>
      <c r="L11" s="78">
        <f>'Beta dmart'!P6</f>
        <v>0.15985967819911032</v>
      </c>
      <c r="M11" s="10">
        <f>L11/(1+(1-I11)*J11)</f>
        <v>0.1591715770783122</v>
      </c>
      <c r="P11" s="7"/>
      <c r="Q11" s="7"/>
    </row>
    <row r="12" spans="2:17" x14ac:dyDescent="0.35">
      <c r="B12" s="7" t="s">
        <v>100</v>
      </c>
      <c r="C12" s="7"/>
      <c r="D12" s="7"/>
      <c r="E12" s="7"/>
      <c r="F12" s="7" t="s">
        <v>15</v>
      </c>
      <c r="G12">
        <f>'beta-comps'!E6</f>
        <v>23485700096</v>
      </c>
      <c r="H12" s="13">
        <f>'beta-comps'!D6</f>
        <v>1489847975936</v>
      </c>
      <c r="I12" s="11">
        <v>0.3</v>
      </c>
      <c r="J12" s="9">
        <f t="shared" ref="J12:J15" si="0">G12/H12</f>
        <v>1.5763823205683158E-2</v>
      </c>
      <c r="K12" s="9">
        <f t="shared" ref="K12:K15" si="1">G12/(G12+H12)</f>
        <v>1.5519181571099451E-2</v>
      </c>
      <c r="L12" s="78">
        <f>'beta trent'!P6</f>
        <v>0.47333486694175264</v>
      </c>
      <c r="M12" s="10">
        <f>L12/(1+(1-I12)*J12)</f>
        <v>0.46816877607027763</v>
      </c>
      <c r="P12" s="7"/>
      <c r="Q12" s="7"/>
    </row>
    <row r="13" spans="2:17" x14ac:dyDescent="0.35">
      <c r="B13" s="7" t="s">
        <v>105</v>
      </c>
      <c r="C13" s="7"/>
      <c r="D13" s="7"/>
      <c r="E13" s="7"/>
      <c r="F13" s="7" t="s">
        <v>15</v>
      </c>
      <c r="G13">
        <f>'beta-comps'!E7</f>
        <v>4637550080</v>
      </c>
      <c r="H13" s="13">
        <f>'beta-comps'!D7</f>
        <v>118461530112</v>
      </c>
      <c r="I13" s="11">
        <v>0.3</v>
      </c>
      <c r="J13" s="9">
        <f t="shared" si="0"/>
        <v>3.9148152785257857E-2</v>
      </c>
      <c r="K13" s="9">
        <f t="shared" si="1"/>
        <v>3.7673312203200249E-2</v>
      </c>
      <c r="L13" s="78">
        <f>'beta manavyar'!P6</f>
        <v>3.3389176451748916E-3</v>
      </c>
      <c r="M13" s="10">
        <f t="shared" ref="M13:M15" si="2">L13/(1+(1-I13)*J13)</f>
        <v>3.2498594492013288E-3</v>
      </c>
      <c r="P13" s="7"/>
      <c r="Q13" s="7"/>
    </row>
    <row r="14" spans="2:17" x14ac:dyDescent="0.35">
      <c r="B14" s="7" t="s">
        <v>106</v>
      </c>
      <c r="C14" s="7"/>
      <c r="D14" s="7"/>
      <c r="E14" s="7"/>
      <c r="F14" s="7" t="s">
        <v>15</v>
      </c>
      <c r="G14">
        <f>'beta-comps'!E8</f>
        <v>56652398592</v>
      </c>
      <c r="H14" s="13">
        <f>'beta-comps'!D8</f>
        <v>85499035648</v>
      </c>
      <c r="I14" s="11">
        <v>0.3</v>
      </c>
      <c r="J14" s="9">
        <f t="shared" si="0"/>
        <v>0.66260862666613263</v>
      </c>
      <c r="K14" s="9">
        <f t="shared" si="1"/>
        <v>0.39853553989720197</v>
      </c>
      <c r="L14" s="78">
        <f>'beta abfrl'!P6</f>
        <v>0.34585092814195434</v>
      </c>
      <c r="M14" s="10">
        <f>L14/(1+(1-I14)*J14)</f>
        <v>0.23626504721630906</v>
      </c>
      <c r="P14" s="7"/>
      <c r="Q14" s="7"/>
    </row>
    <row r="15" spans="2:17" x14ac:dyDescent="0.35">
      <c r="B15" s="7" t="s">
        <v>107</v>
      </c>
      <c r="C15" s="7"/>
      <c r="D15" s="7"/>
      <c r="E15" s="7"/>
      <c r="F15" s="7" t="s">
        <v>15</v>
      </c>
      <c r="G15">
        <f>'beta-comps'!E9</f>
        <v>14386299904</v>
      </c>
      <c r="H15" s="13">
        <f>'beta-comps'!D9</f>
        <v>285401055232</v>
      </c>
      <c r="I15" s="11">
        <v>0.3</v>
      </c>
      <c r="J15" s="9">
        <f t="shared" si="0"/>
        <v>5.0407311536761853E-2</v>
      </c>
      <c r="K15" s="9">
        <f t="shared" si="1"/>
        <v>4.7988347932398902E-2</v>
      </c>
      <c r="L15" s="78">
        <f>'beta mterobrand'!P6</f>
        <v>3.766161198205728E-2</v>
      </c>
      <c r="M15" s="10">
        <f t="shared" si="2"/>
        <v>3.6378009617348966E-2</v>
      </c>
      <c r="P15" s="7"/>
      <c r="Q15" s="7"/>
    </row>
    <row r="16" spans="2:17" ht="15" thickBot="1" x14ac:dyDescent="0.4">
      <c r="H16" s="13"/>
    </row>
    <row r="17" spans="2:18" x14ac:dyDescent="0.35">
      <c r="H17" s="14" t="s">
        <v>16</v>
      </c>
      <c r="I17" s="15">
        <f>AVERAGE(I11:I15)</f>
        <v>0.3</v>
      </c>
      <c r="J17" s="16">
        <f>AVERAGE(J11:J15)</f>
        <v>0.15482072999152352</v>
      </c>
      <c r="K17" s="16">
        <f t="shared" ref="K17" si="3">AVERAGE(K11:K15)</f>
        <v>0.10117084235010683</v>
      </c>
      <c r="L17" s="17">
        <f t="shared" ref="L17:M17" si="4">AVERAGE(L11:L15)</f>
        <v>0.20400920058200986</v>
      </c>
      <c r="M17" s="17">
        <f>AVERAGE(M11:M15)</f>
        <v>0.18064665388628981</v>
      </c>
    </row>
    <row r="18" spans="2:18" ht="15" thickBot="1" x14ac:dyDescent="0.4">
      <c r="H18" s="18" t="s">
        <v>17</v>
      </c>
      <c r="I18" s="19">
        <f>MEDIAN(I11:I15)</f>
        <v>0.3</v>
      </c>
      <c r="J18" s="20">
        <f t="shared" ref="J18:M18" si="5">MEDIAN(J11:J15)</f>
        <v>3.9148152785257857E-2</v>
      </c>
      <c r="K18" s="20">
        <f t="shared" si="5"/>
        <v>3.7673312203200249E-2</v>
      </c>
      <c r="L18" s="21">
        <f>MEDIAN(L11:L15)</f>
        <v>0.15985967819911032</v>
      </c>
      <c r="M18" s="21">
        <f>MEDIAN(M11:M15)</f>
        <v>0.1591715770783122</v>
      </c>
    </row>
    <row r="21" spans="2:18" ht="15" thickBot="1" x14ac:dyDescent="0.4">
      <c r="B21" s="18" t="s">
        <v>18</v>
      </c>
      <c r="C21" s="22"/>
      <c r="D21" s="22"/>
      <c r="E21" s="22"/>
      <c r="F21" s="22"/>
      <c r="G21" s="22"/>
      <c r="H21" s="22"/>
      <c r="L21" s="18" t="s">
        <v>18</v>
      </c>
      <c r="M21" s="18" t="s">
        <v>22</v>
      </c>
      <c r="N21" s="22"/>
      <c r="O21" s="22"/>
      <c r="P21" s="22"/>
      <c r="Q21" s="22"/>
    </row>
    <row r="23" spans="2:18" x14ac:dyDescent="0.35">
      <c r="B23" t="s">
        <v>19</v>
      </c>
      <c r="H23" s="27">
        <v>8.4000000000000005E-2</v>
      </c>
      <c r="L23" t="s">
        <v>23</v>
      </c>
      <c r="Q23" s="27">
        <v>6.5000000000000002E-2</v>
      </c>
      <c r="R23" t="s">
        <v>108</v>
      </c>
    </row>
    <row r="24" spans="2:18" x14ac:dyDescent="0.35">
      <c r="B24" s="24" t="s">
        <v>20</v>
      </c>
      <c r="C24" s="24"/>
      <c r="D24" s="24"/>
      <c r="E24" s="24"/>
      <c r="F24" s="24"/>
      <c r="G24" s="24"/>
      <c r="H24" s="33">
        <v>0.3</v>
      </c>
      <c r="L24" t="s">
        <v>24</v>
      </c>
      <c r="Q24" s="77">
        <f>'valuation of rm'!H11-WACC!Q23</f>
        <v>8.6492307692307702E-2</v>
      </c>
    </row>
    <row r="25" spans="2:18" ht="16.5" customHeight="1" x14ac:dyDescent="0.35">
      <c r="B25" t="s">
        <v>21</v>
      </c>
      <c r="H25" s="30">
        <f>H23*(1-H24)</f>
        <v>5.8799999999999998E-2</v>
      </c>
      <c r="L25" s="24" t="s">
        <v>30</v>
      </c>
      <c r="M25" s="24"/>
      <c r="N25" s="24"/>
      <c r="O25" s="24"/>
      <c r="P25" s="24"/>
      <c r="Q25" s="31">
        <f>R34</f>
        <v>0.17171285444554715</v>
      </c>
      <c r="R25" t="s">
        <v>109</v>
      </c>
    </row>
    <row r="26" spans="2:18" x14ac:dyDescent="0.35">
      <c r="L26" t="s">
        <v>26</v>
      </c>
      <c r="Q26" s="30">
        <f>Q23+Q24*Q25</f>
        <v>7.9851841041428714E-2</v>
      </c>
    </row>
    <row r="29" spans="2:18" ht="15" thickBot="1" x14ac:dyDescent="0.4">
      <c r="B29" s="18" t="s">
        <v>27</v>
      </c>
      <c r="C29" s="22"/>
      <c r="D29" s="22"/>
      <c r="E29" s="22"/>
      <c r="F29" s="22"/>
      <c r="G29" s="22"/>
      <c r="H29" s="22"/>
      <c r="L29" s="18" t="s">
        <v>25</v>
      </c>
      <c r="M29" s="22"/>
      <c r="N29" s="22"/>
      <c r="O29" s="22"/>
      <c r="P29" s="22"/>
      <c r="Q29" s="22"/>
      <c r="R29" s="22"/>
    </row>
    <row r="31" spans="2:18" ht="15" thickBot="1" x14ac:dyDescent="0.4">
      <c r="F31" s="22"/>
      <c r="G31" s="25" t="s">
        <v>28</v>
      </c>
      <c r="H31" s="25" t="s">
        <v>29</v>
      </c>
      <c r="L31" t="s">
        <v>33</v>
      </c>
      <c r="R31" s="13">
        <f>M18</f>
        <v>0.1591715770783122</v>
      </c>
    </row>
    <row r="32" spans="2:18" x14ac:dyDescent="0.35">
      <c r="B32" t="s">
        <v>5</v>
      </c>
      <c r="F32" s="75">
        <f>G11</f>
        <v>16091899904</v>
      </c>
      <c r="G32" s="8">
        <f>F32/$F$34</f>
        <v>6.1378301466335503E-3</v>
      </c>
      <c r="H32" s="77">
        <f>K17</f>
        <v>0.10117084235010683</v>
      </c>
      <c r="L32" t="s">
        <v>34</v>
      </c>
      <c r="R32" s="23">
        <f>H36</f>
        <v>0.11255847842612414</v>
      </c>
    </row>
    <row r="33" spans="2:18" x14ac:dyDescent="0.35">
      <c r="B33" s="24" t="s">
        <v>31</v>
      </c>
      <c r="C33" s="24"/>
      <c r="D33" s="24"/>
      <c r="E33" s="24"/>
      <c r="F33" s="76">
        <f>H11</f>
        <v>2605665222656</v>
      </c>
      <c r="G33" s="26">
        <f t="shared" ref="G33:G34" si="6">F33/$F$34</f>
        <v>0.9938621698533664</v>
      </c>
      <c r="H33" s="28">
        <f>H34-H32</f>
        <v>0.89882915764989313</v>
      </c>
      <c r="L33" t="s">
        <v>20</v>
      </c>
      <c r="R33" s="12">
        <f>H24</f>
        <v>0.3</v>
      </c>
    </row>
    <row r="34" spans="2:18" x14ac:dyDescent="0.35">
      <c r="B34" t="s">
        <v>32</v>
      </c>
      <c r="F34">
        <f>SUM(F32:F33)</f>
        <v>2621757122560</v>
      </c>
      <c r="G34" s="8">
        <f t="shared" si="6"/>
        <v>1</v>
      </c>
      <c r="H34" s="23">
        <f>G34</f>
        <v>1</v>
      </c>
      <c r="L34" s="29" t="s">
        <v>25</v>
      </c>
      <c r="M34" s="29"/>
      <c r="N34" s="29"/>
      <c r="O34" s="29"/>
      <c r="P34" s="29"/>
      <c r="Q34" s="29"/>
      <c r="R34" s="32">
        <f>R31*(1+(1-R33)*R32)</f>
        <v>0.17171285444554715</v>
      </c>
    </row>
    <row r="36" spans="2:18" ht="15" thickBot="1" x14ac:dyDescent="0.4">
      <c r="B36" t="s">
        <v>35</v>
      </c>
      <c r="G36" s="30">
        <f>G32/G33</f>
        <v>6.1757357637821355E-3</v>
      </c>
      <c r="H36" s="30">
        <f t="shared" ref="H36" si="7">H32/H33</f>
        <v>0.11255847842612414</v>
      </c>
      <c r="L36" s="18" t="s">
        <v>0</v>
      </c>
      <c r="M36" s="22"/>
      <c r="N36" s="22"/>
      <c r="O36" s="22"/>
      <c r="P36" s="22"/>
      <c r="Q36" s="22"/>
      <c r="R36" s="22"/>
    </row>
    <row r="38" spans="2:18" x14ac:dyDescent="0.35">
      <c r="L38" s="36" t="s">
        <v>26</v>
      </c>
      <c r="M38" s="36"/>
      <c r="N38" s="36"/>
      <c r="O38" s="36"/>
      <c r="P38" s="36"/>
      <c r="Q38" s="36"/>
      <c r="R38" s="81">
        <f>Q26</f>
        <v>7.9851841041428714E-2</v>
      </c>
    </row>
    <row r="39" spans="2:18" x14ac:dyDescent="0.35">
      <c r="B39" s="34" t="s">
        <v>36</v>
      </c>
      <c r="L39" s="82" t="s">
        <v>118</v>
      </c>
      <c r="M39" s="36"/>
      <c r="N39" s="36"/>
      <c r="O39" s="36"/>
      <c r="P39" s="36"/>
      <c r="Q39" s="81"/>
      <c r="R39" s="81">
        <f>H33</f>
        <v>0.89882915764989313</v>
      </c>
    </row>
    <row r="40" spans="2:18" x14ac:dyDescent="0.35">
      <c r="B40" t="s">
        <v>37</v>
      </c>
      <c r="L40" s="36"/>
      <c r="M40" s="36"/>
      <c r="N40" s="36"/>
      <c r="O40" s="36"/>
      <c r="P40" s="36"/>
      <c r="Q40" s="81"/>
      <c r="R40" s="81"/>
    </row>
    <row r="41" spans="2:18" x14ac:dyDescent="0.35">
      <c r="B41" t="s">
        <v>38</v>
      </c>
      <c r="L41" s="82" t="s">
        <v>119</v>
      </c>
      <c r="M41" s="36"/>
      <c r="N41" s="36"/>
      <c r="O41" s="36"/>
      <c r="P41" s="36"/>
      <c r="Q41" s="36"/>
      <c r="R41" s="83">
        <f>H25</f>
        <v>5.8799999999999998E-2</v>
      </c>
    </row>
    <row r="42" spans="2:18" x14ac:dyDescent="0.35">
      <c r="B42" t="s">
        <v>39</v>
      </c>
      <c r="L42" s="82" t="s">
        <v>120</v>
      </c>
      <c r="R42" s="23">
        <f>H32</f>
        <v>0.10117084235010683</v>
      </c>
    </row>
    <row r="44" spans="2:18" x14ac:dyDescent="0.35">
      <c r="L44" s="84" t="s">
        <v>121</v>
      </c>
      <c r="M44" s="84"/>
      <c r="N44" s="84"/>
      <c r="O44" s="84"/>
      <c r="P44" s="84"/>
      <c r="Q44" s="84"/>
      <c r="R44" s="85">
        <f>(R38*R39)+(R41+R42)</f>
        <v>0.23174400537016737</v>
      </c>
    </row>
  </sheetData>
  <mergeCells count="1">
    <mergeCell ref="F5:J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1AB6-FA1D-4D65-973C-1D125857F0AB}">
  <dimension ref="A2:V110"/>
  <sheetViews>
    <sheetView showGridLines="0" zoomScale="85" zoomScaleNormal="400" workbookViewId="0">
      <selection activeCell="I23" sqref="I23"/>
    </sheetView>
  </sheetViews>
  <sheetFormatPr defaultRowHeight="14.5" x14ac:dyDescent="0.35"/>
  <cols>
    <col min="1" max="1" width="11" bestFit="1" customWidth="1"/>
    <col min="2" max="2" width="9" bestFit="1" customWidth="1"/>
    <col min="4" max="4" width="10.54296875" bestFit="1" customWidth="1"/>
    <col min="6" max="6" width="11" bestFit="1" customWidth="1"/>
    <col min="7" max="7" width="8.81640625" bestFit="1" customWidth="1"/>
    <col min="9" max="9" width="8.81640625" bestFit="1" customWidth="1"/>
    <col min="11" max="11" width="16.36328125" bestFit="1" customWidth="1"/>
    <col min="12" max="12" width="18.26953125" bestFit="1" customWidth="1"/>
    <col min="13" max="13" width="12.7265625" bestFit="1" customWidth="1"/>
    <col min="14" max="14" width="14" bestFit="1" customWidth="1"/>
    <col min="15" max="16" width="12.7265625" bestFit="1" customWidth="1"/>
    <col min="17" max="17" width="13.36328125" bestFit="1" customWidth="1"/>
    <col min="18" max="18" width="12.7265625" bestFit="1" customWidth="1"/>
    <col min="19" max="19" width="13.36328125" bestFit="1" customWidth="1"/>
    <col min="20" max="20" width="12.7265625" bestFit="1" customWidth="1"/>
  </cols>
  <sheetData>
    <row r="2" spans="1:16" x14ac:dyDescent="0.35">
      <c r="O2" s="54" t="s">
        <v>73</v>
      </c>
      <c r="P2" s="55"/>
    </row>
    <row r="3" spans="1:16" x14ac:dyDescent="0.35">
      <c r="B3" s="47" t="s">
        <v>40</v>
      </c>
      <c r="G3" s="47" t="s">
        <v>41</v>
      </c>
      <c r="K3" s="72" t="s">
        <v>75</v>
      </c>
      <c r="L3" s="72"/>
      <c r="O3" s="57" t="s">
        <v>74</v>
      </c>
      <c r="P3" s="56"/>
    </row>
    <row r="4" spans="1:16" x14ac:dyDescent="0.35">
      <c r="O4" s="58" t="s">
        <v>44</v>
      </c>
      <c r="P4" s="59">
        <f>SLOPE(D7:D110,I7:I110)</f>
        <v>0.15985967819911032</v>
      </c>
    </row>
    <row r="5" spans="1:16" ht="15" thickBot="1" x14ac:dyDescent="0.4">
      <c r="A5" s="49" t="s">
        <v>42</v>
      </c>
      <c r="B5" s="50" t="s">
        <v>43</v>
      </c>
      <c r="C5" s="50" t="s">
        <v>69</v>
      </c>
      <c r="D5" s="50"/>
      <c r="E5" s="49"/>
      <c r="F5" s="49" t="s">
        <v>42</v>
      </c>
      <c r="G5" s="49" t="s">
        <v>43</v>
      </c>
      <c r="H5" s="50" t="s">
        <v>69</v>
      </c>
      <c r="I5" s="50"/>
      <c r="K5" t="s">
        <v>78</v>
      </c>
      <c r="L5">
        <f>P6</f>
        <v>0.15985967819911032</v>
      </c>
      <c r="O5" s="60" t="s">
        <v>72</v>
      </c>
      <c r="P5" s="61">
        <f>_xlfn.COVARIANCE.S(D6:D110,I6:I110)/_xlfn.VAR.S(I6:I110)</f>
        <v>0.15985967819911029</v>
      </c>
    </row>
    <row r="6" spans="1:16" ht="15.5" thickTop="1" thickBot="1" x14ac:dyDescent="0.4">
      <c r="A6" s="41">
        <v>45327</v>
      </c>
      <c r="B6" s="13">
        <v>21782.5</v>
      </c>
      <c r="F6" s="42">
        <v>45327</v>
      </c>
      <c r="G6" s="13">
        <v>3719.19995117187</v>
      </c>
      <c r="K6" t="s">
        <v>77</v>
      </c>
      <c r="L6" s="23">
        <v>0.75</v>
      </c>
      <c r="O6" s="62" t="s">
        <v>45</v>
      </c>
      <c r="P6" s="63">
        <f>O28</f>
        <v>0.15985967819911032</v>
      </c>
    </row>
    <row r="7" spans="1:16" x14ac:dyDescent="0.35">
      <c r="A7" s="41">
        <v>45334</v>
      </c>
      <c r="B7" s="13">
        <v>22040.69921875</v>
      </c>
      <c r="D7" s="38">
        <f>B7/B6-1</f>
        <v>1.1853516297486433E-2</v>
      </c>
      <c r="F7" s="42">
        <v>45334</v>
      </c>
      <c r="G7" s="13">
        <v>3693.30004882812</v>
      </c>
      <c r="I7" s="38">
        <f>G7/G6-1</f>
        <v>-6.9638370304853092E-3</v>
      </c>
    </row>
    <row r="8" spans="1:16" x14ac:dyDescent="0.35">
      <c r="A8" s="41">
        <v>45341</v>
      </c>
      <c r="B8" s="13">
        <v>22212.69921875</v>
      </c>
      <c r="D8" s="39">
        <f t="shared" ref="D8:D71" si="0">B8/B7-1</f>
        <v>7.8037451667449798E-3</v>
      </c>
      <c r="F8" s="42">
        <v>45341</v>
      </c>
      <c r="G8" s="13">
        <v>3840.55004882812</v>
      </c>
      <c r="I8" s="39">
        <f t="shared" ref="I8:I71" si="1">G8/G7-1</f>
        <v>3.98694928798764E-2</v>
      </c>
      <c r="K8" t="s">
        <v>79</v>
      </c>
      <c r="L8">
        <v>1</v>
      </c>
    </row>
    <row r="9" spans="1:16" x14ac:dyDescent="0.35">
      <c r="A9" s="41">
        <v>45348</v>
      </c>
      <c r="B9" s="13">
        <v>22338.75</v>
      </c>
      <c r="D9" s="39">
        <f t="shared" si="0"/>
        <v>5.6747169719741919E-3</v>
      </c>
      <c r="F9" s="42">
        <v>45348</v>
      </c>
      <c r="G9" s="13">
        <v>3884.14990234375</v>
      </c>
      <c r="I9" s="39">
        <f t="shared" si="1"/>
        <v>1.1352502365887363E-2</v>
      </c>
      <c r="K9" t="s">
        <v>76</v>
      </c>
      <c r="L9" s="8">
        <v>0.25</v>
      </c>
    </row>
    <row r="10" spans="1:16" x14ac:dyDescent="0.35">
      <c r="A10" s="41">
        <v>45355</v>
      </c>
      <c r="B10" s="13">
        <v>22493.55078125</v>
      </c>
      <c r="D10" s="39">
        <f t="shared" si="0"/>
        <v>6.9296975546975226E-3</v>
      </c>
      <c r="F10" s="42">
        <v>45355</v>
      </c>
      <c r="G10" s="13">
        <v>3925.94995117187</v>
      </c>
      <c r="I10" s="39">
        <f t="shared" si="1"/>
        <v>1.0761698152508714E-2</v>
      </c>
    </row>
    <row r="11" spans="1:16" x14ac:dyDescent="0.35">
      <c r="A11" s="41">
        <v>45362</v>
      </c>
      <c r="B11" s="13">
        <v>22023.349609375</v>
      </c>
      <c r="D11" s="39">
        <f t="shared" si="0"/>
        <v>-2.0903821564132397E-2</v>
      </c>
      <c r="F11" s="42">
        <v>45362</v>
      </c>
      <c r="G11" s="13">
        <v>3932.10009765625</v>
      </c>
      <c r="I11" s="39">
        <f t="shared" si="1"/>
        <v>1.5665371593807098E-3</v>
      </c>
      <c r="J11" s="36"/>
      <c r="K11" s="52" t="s">
        <v>80</v>
      </c>
      <c r="L11" s="53">
        <f>L6*L5+L9*L8</f>
        <v>0.36989475864933274</v>
      </c>
      <c r="N11" t="s">
        <v>46</v>
      </c>
    </row>
    <row r="12" spans="1:16" ht="15" thickBot="1" x14ac:dyDescent="0.4">
      <c r="A12" s="41">
        <v>45369</v>
      </c>
      <c r="B12" s="13">
        <v>22096.75</v>
      </c>
      <c r="D12" s="39">
        <f t="shared" si="0"/>
        <v>3.332844091697762E-3</v>
      </c>
      <c r="F12" s="42">
        <v>45369</v>
      </c>
      <c r="G12" s="13">
        <v>4297.60009765625</v>
      </c>
      <c r="H12" s="37"/>
      <c r="I12" s="39">
        <f t="shared" si="1"/>
        <v>9.2952872745497572E-2</v>
      </c>
      <c r="J12" s="36"/>
      <c r="K12" s="36"/>
    </row>
    <row r="13" spans="1:16" x14ac:dyDescent="0.35">
      <c r="A13" s="41">
        <v>45376</v>
      </c>
      <c r="B13" s="13">
        <v>22326.900390625</v>
      </c>
      <c r="D13" s="39">
        <f t="shared" si="0"/>
        <v>1.0415576527091019E-2</v>
      </c>
      <c r="F13" s="42">
        <v>45376</v>
      </c>
      <c r="G13" s="13">
        <v>4525.60009765625</v>
      </c>
      <c r="H13" s="36"/>
      <c r="I13" s="39">
        <f t="shared" si="1"/>
        <v>5.3052865510763159E-2</v>
      </c>
      <c r="J13" s="36"/>
      <c r="K13" s="36"/>
      <c r="N13" s="45" t="s">
        <v>47</v>
      </c>
      <c r="O13" s="45"/>
    </row>
    <row r="14" spans="1:16" x14ac:dyDescent="0.35">
      <c r="A14" s="41">
        <v>45383</v>
      </c>
      <c r="B14" s="13">
        <v>22513.69921875</v>
      </c>
      <c r="D14" s="39">
        <f t="shared" si="0"/>
        <v>8.3665365481468967E-3</v>
      </c>
      <c r="F14" s="42">
        <v>45383</v>
      </c>
      <c r="G14" s="13">
        <v>4619.25</v>
      </c>
      <c r="H14" s="36"/>
      <c r="I14" s="39">
        <f t="shared" si="1"/>
        <v>2.0693366696772353E-2</v>
      </c>
      <c r="J14" s="36"/>
      <c r="K14" s="36"/>
      <c r="N14" s="43" t="s">
        <v>48</v>
      </c>
      <c r="O14" s="43">
        <v>0.4097986800887371</v>
      </c>
    </row>
    <row r="15" spans="1:16" x14ac:dyDescent="0.35">
      <c r="A15" s="41">
        <v>45390</v>
      </c>
      <c r="B15" s="13">
        <v>22519.400390625</v>
      </c>
      <c r="D15" s="39">
        <f t="shared" si="0"/>
        <v>2.5323123577369877E-4</v>
      </c>
      <c r="F15" s="42">
        <v>45390</v>
      </c>
      <c r="G15" s="13">
        <v>4765.0498046875</v>
      </c>
      <c r="H15" s="36"/>
      <c r="I15" s="39">
        <f t="shared" si="1"/>
        <v>3.1563523231585178E-2</v>
      </c>
      <c r="J15" s="36"/>
      <c r="K15" s="36"/>
      <c r="N15" s="43" t="s">
        <v>49</v>
      </c>
      <c r="O15" s="43">
        <v>0.16793495820247109</v>
      </c>
    </row>
    <row r="16" spans="1:16" x14ac:dyDescent="0.35">
      <c r="A16" s="41">
        <v>45397</v>
      </c>
      <c r="B16" s="13">
        <v>22147</v>
      </c>
      <c r="D16" s="39">
        <f t="shared" si="0"/>
        <v>-1.6536869728557835E-2</v>
      </c>
      <c r="F16" s="42">
        <v>45397</v>
      </c>
      <c r="G16" s="13">
        <v>4696</v>
      </c>
      <c r="H16" s="36"/>
      <c r="I16" s="39">
        <f t="shared" si="1"/>
        <v>-1.4490888346974651E-2</v>
      </c>
      <c r="J16" s="36"/>
      <c r="K16" s="36"/>
      <c r="N16" s="43" t="s">
        <v>50</v>
      </c>
      <c r="O16" s="43">
        <v>0.15977745779269142</v>
      </c>
    </row>
    <row r="17" spans="1:22" x14ac:dyDescent="0.35">
      <c r="A17" s="41">
        <v>45404</v>
      </c>
      <c r="B17" s="13">
        <v>22419.94921875</v>
      </c>
      <c r="D17" s="39">
        <f t="shared" si="0"/>
        <v>1.2324433049623051E-2</v>
      </c>
      <c r="F17" s="42">
        <v>45404</v>
      </c>
      <c r="G17" s="13">
        <v>4553.14990234375</v>
      </c>
      <c r="H17" s="36"/>
      <c r="I17" s="39">
        <f t="shared" si="1"/>
        <v>-3.0419526758145188E-2</v>
      </c>
      <c r="J17" s="36"/>
      <c r="K17" s="36"/>
      <c r="N17" s="43" t="s">
        <v>51</v>
      </c>
      <c r="O17" s="43">
        <v>1.5524268755833659E-2</v>
      </c>
    </row>
    <row r="18" spans="1:22" ht="15" thickBot="1" x14ac:dyDescent="0.4">
      <c r="A18" s="41">
        <v>45411</v>
      </c>
      <c r="B18" s="13">
        <v>22475.849609375</v>
      </c>
      <c r="D18" s="39">
        <f t="shared" si="0"/>
        <v>2.4933326155016644E-3</v>
      </c>
      <c r="F18" s="42">
        <v>45411</v>
      </c>
      <c r="G18" s="13">
        <v>4612.35009765625</v>
      </c>
      <c r="H18" s="36"/>
      <c r="I18" s="39">
        <f t="shared" si="1"/>
        <v>1.3002030809929233E-2</v>
      </c>
      <c r="J18" s="36"/>
      <c r="K18" s="36"/>
      <c r="N18" s="44" t="s">
        <v>52</v>
      </c>
      <c r="O18" s="44">
        <v>104</v>
      </c>
    </row>
    <row r="19" spans="1:22" x14ac:dyDescent="0.35">
      <c r="A19" s="41">
        <v>45418</v>
      </c>
      <c r="B19" s="13">
        <v>22055.19921875</v>
      </c>
      <c r="D19" s="39">
        <f t="shared" si="0"/>
        <v>-1.8715661384811066E-2</v>
      </c>
      <c r="F19" s="42">
        <v>45418</v>
      </c>
      <c r="G19" s="13">
        <v>4796.7998046875</v>
      </c>
      <c r="H19" s="36"/>
      <c r="I19" s="39">
        <f t="shared" si="1"/>
        <v>3.9990396029342401E-2</v>
      </c>
      <c r="J19" s="37"/>
      <c r="K19" s="37"/>
    </row>
    <row r="20" spans="1:22" ht="15" thickBot="1" x14ac:dyDescent="0.4">
      <c r="A20" s="41">
        <v>45425</v>
      </c>
      <c r="B20" s="13">
        <v>22466.099609375</v>
      </c>
      <c r="D20" s="39">
        <f t="shared" si="0"/>
        <v>1.8630545412424926E-2</v>
      </c>
      <c r="F20" s="42">
        <v>45425</v>
      </c>
      <c r="G20" s="13">
        <v>4670.64990234375</v>
      </c>
      <c r="H20" s="37"/>
      <c r="I20" s="39">
        <f t="shared" si="1"/>
        <v>-2.6298763233869926E-2</v>
      </c>
      <c r="J20" s="36"/>
      <c r="K20" s="36"/>
      <c r="N20" t="s">
        <v>53</v>
      </c>
    </row>
    <row r="21" spans="1:22" x14ac:dyDescent="0.35">
      <c r="A21" s="41">
        <v>45432</v>
      </c>
      <c r="B21" s="13">
        <v>22957.099609375</v>
      </c>
      <c r="D21" s="39">
        <f t="shared" si="0"/>
        <v>2.1855151029202657E-2</v>
      </c>
      <c r="F21" s="42">
        <v>45432</v>
      </c>
      <c r="G21" s="13">
        <v>4684.5</v>
      </c>
      <c r="H21" s="36"/>
      <c r="I21" s="39">
        <f t="shared" si="1"/>
        <v>2.9653469957788836E-3</v>
      </c>
      <c r="J21" s="36"/>
      <c r="K21" s="36"/>
      <c r="N21" s="45"/>
      <c r="O21" s="45" t="s">
        <v>54</v>
      </c>
      <c r="P21" s="45" t="s">
        <v>55</v>
      </c>
      <c r="Q21" s="45" t="s">
        <v>56</v>
      </c>
      <c r="R21" s="45" t="s">
        <v>57</v>
      </c>
      <c r="S21" s="45" t="s">
        <v>58</v>
      </c>
    </row>
    <row r="22" spans="1:22" x14ac:dyDescent="0.35">
      <c r="A22" s="41">
        <v>45439</v>
      </c>
      <c r="B22" s="13">
        <v>22530.69921875</v>
      </c>
      <c r="D22" s="39">
        <f t="shared" si="0"/>
        <v>-1.8573791893592317E-2</v>
      </c>
      <c r="F22" s="42">
        <v>45439</v>
      </c>
      <c r="G22" s="13">
        <v>4302.14990234375</v>
      </c>
      <c r="H22" s="36"/>
      <c r="I22" s="39">
        <f t="shared" si="1"/>
        <v>-8.1620257798324269E-2</v>
      </c>
      <c r="J22" s="36"/>
      <c r="K22" s="36"/>
      <c r="N22" s="43" t="s">
        <v>59</v>
      </c>
      <c r="O22" s="43">
        <v>1</v>
      </c>
      <c r="P22" s="43">
        <v>4.9614236385559195E-3</v>
      </c>
      <c r="Q22" s="43">
        <v>4.9614236385559195E-3</v>
      </c>
      <c r="R22" s="43">
        <v>20.586570611892427</v>
      </c>
      <c r="S22" s="43">
        <v>1.5607276951766867E-5</v>
      </c>
    </row>
    <row r="23" spans="1:22" x14ac:dyDescent="0.35">
      <c r="A23" s="41">
        <v>45446</v>
      </c>
      <c r="B23" s="13">
        <v>23290.150390625</v>
      </c>
      <c r="D23" s="39">
        <f t="shared" si="0"/>
        <v>3.3707394719600492E-2</v>
      </c>
      <c r="F23" s="42">
        <v>45446</v>
      </c>
      <c r="G23" s="13">
        <v>4747.25</v>
      </c>
      <c r="H23" s="36"/>
      <c r="I23" s="39">
        <f t="shared" si="1"/>
        <v>0.10345992300588258</v>
      </c>
      <c r="J23" s="36"/>
      <c r="K23" s="36"/>
      <c r="N23" s="43" t="s">
        <v>60</v>
      </c>
      <c r="O23" s="43">
        <v>102</v>
      </c>
      <c r="P23" s="43">
        <v>2.458229788114202E-2</v>
      </c>
      <c r="Q23" s="43">
        <v>2.4100292040335315E-4</v>
      </c>
      <c r="R23" s="43"/>
      <c r="S23" s="43"/>
    </row>
    <row r="24" spans="1:22" ht="15" thickBot="1" x14ac:dyDescent="0.4">
      <c r="A24" s="41">
        <v>45453</v>
      </c>
      <c r="B24" s="13">
        <v>23465.599609375</v>
      </c>
      <c r="D24" s="39">
        <f t="shared" si="0"/>
        <v>7.5331938955887079E-3</v>
      </c>
      <c r="F24" s="42">
        <v>45453</v>
      </c>
      <c r="G24" s="13">
        <v>4739.9501953125</v>
      </c>
      <c r="H24" s="36"/>
      <c r="I24" s="39">
        <f t="shared" si="1"/>
        <v>-1.5376912291326095E-3</v>
      </c>
      <c r="J24" s="37"/>
      <c r="K24" s="37"/>
      <c r="N24" s="44" t="s">
        <v>61</v>
      </c>
      <c r="O24" s="44">
        <v>103</v>
      </c>
      <c r="P24" s="44">
        <v>2.9543721519697939E-2</v>
      </c>
      <c r="Q24" s="44"/>
      <c r="R24" s="44"/>
      <c r="S24" s="44"/>
    </row>
    <row r="25" spans="1:22" ht="15" thickBot="1" x14ac:dyDescent="0.4">
      <c r="A25" s="41">
        <v>45460</v>
      </c>
      <c r="B25" s="13">
        <v>23501.099609375</v>
      </c>
      <c r="D25" s="39">
        <f t="shared" si="0"/>
        <v>1.5128528821319875E-3</v>
      </c>
      <c r="F25" s="42">
        <v>45460</v>
      </c>
      <c r="G25" s="13">
        <v>4804.85009765625</v>
      </c>
      <c r="H25" s="37"/>
      <c r="I25" s="39">
        <f t="shared" si="1"/>
        <v>1.3692106387094949E-2</v>
      </c>
      <c r="J25" s="36"/>
      <c r="K25" s="36"/>
    </row>
    <row r="26" spans="1:22" x14ac:dyDescent="0.35">
      <c r="A26" s="41">
        <v>45467</v>
      </c>
      <c r="B26" s="13">
        <v>24010.599609375</v>
      </c>
      <c r="D26" s="39">
        <f t="shared" si="0"/>
        <v>2.1679836623336168E-2</v>
      </c>
      <c r="F26" s="42">
        <v>45467</v>
      </c>
      <c r="G26" s="13">
        <v>4716.75</v>
      </c>
      <c r="H26" s="36"/>
      <c r="I26" s="39">
        <f t="shared" si="1"/>
        <v>-1.8335659982238406E-2</v>
      </c>
      <c r="J26" s="36"/>
      <c r="K26" s="36"/>
      <c r="N26" s="45"/>
      <c r="O26" s="45" t="s">
        <v>62</v>
      </c>
      <c r="P26" s="45" t="s">
        <v>51</v>
      </c>
      <c r="Q26" s="45" t="s">
        <v>63</v>
      </c>
      <c r="R26" s="45" t="s">
        <v>64</v>
      </c>
      <c r="S26" s="45" t="s">
        <v>65</v>
      </c>
      <c r="T26" s="45" t="s">
        <v>66</v>
      </c>
      <c r="U26" s="45" t="s">
        <v>70</v>
      </c>
      <c r="V26" s="45" t="s">
        <v>71</v>
      </c>
    </row>
    <row r="27" spans="1:22" x14ac:dyDescent="0.35">
      <c r="A27" s="41">
        <v>45474</v>
      </c>
      <c r="B27" s="13">
        <v>24323.849609375</v>
      </c>
      <c r="D27" s="39">
        <f t="shared" si="0"/>
        <v>1.3046321420381757E-2</v>
      </c>
      <c r="F27" s="42">
        <v>45474</v>
      </c>
      <c r="G27" s="13">
        <v>4853.10009765625</v>
      </c>
      <c r="H27" s="36"/>
      <c r="I27" s="39">
        <f t="shared" si="1"/>
        <v>2.8907637177346679E-2</v>
      </c>
      <c r="J27" s="36"/>
      <c r="K27" s="36"/>
      <c r="N27" s="43" t="s">
        <v>67</v>
      </c>
      <c r="O27" s="43">
        <v>1.465164882357413E-3</v>
      </c>
      <c r="P27" s="43">
        <v>1.5230156414224349E-3</v>
      </c>
      <c r="Q27" s="43">
        <v>0.96201565007501066</v>
      </c>
      <c r="R27" s="43">
        <v>0.33831682036916644</v>
      </c>
      <c r="S27" s="43">
        <v>-1.5557294211210916E-3</v>
      </c>
      <c r="T27" s="43">
        <v>4.4860591858359175E-3</v>
      </c>
      <c r="U27" s="43">
        <v>-1.5557294211210916E-3</v>
      </c>
      <c r="V27" s="43">
        <v>4.4860591858359175E-3</v>
      </c>
    </row>
    <row r="28" spans="1:22" ht="15" thickBot="1" x14ac:dyDescent="0.4">
      <c r="A28" s="41">
        <v>45481</v>
      </c>
      <c r="B28" s="13">
        <v>24502.150390625</v>
      </c>
      <c r="D28" s="39">
        <f t="shared" si="0"/>
        <v>7.3302862874664587E-3</v>
      </c>
      <c r="F28" s="42">
        <v>45481</v>
      </c>
      <c r="G28" s="13">
        <v>4943.64990234375</v>
      </c>
      <c r="H28" s="36"/>
      <c r="I28" s="39">
        <f t="shared" si="1"/>
        <v>1.8658136627190069E-2</v>
      </c>
      <c r="J28" s="36"/>
      <c r="K28" s="36"/>
      <c r="N28" s="44" t="s">
        <v>68</v>
      </c>
      <c r="O28" s="44">
        <v>0.15985967819911032</v>
      </c>
      <c r="P28" s="44">
        <v>3.5232781562112188E-2</v>
      </c>
      <c r="Q28" s="44">
        <v>4.5372426221101012</v>
      </c>
      <c r="R28" s="44">
        <v>1.5607276951766104E-5</v>
      </c>
      <c r="S28" s="44">
        <v>8.9975623024679097E-2</v>
      </c>
      <c r="T28" s="44">
        <v>0.22974373337354154</v>
      </c>
      <c r="U28" s="44">
        <v>8.9975623024679097E-2</v>
      </c>
      <c r="V28" s="44">
        <v>0.22974373337354154</v>
      </c>
    </row>
    <row r="29" spans="1:22" x14ac:dyDescent="0.35">
      <c r="A29" s="41">
        <v>45488</v>
      </c>
      <c r="B29" s="13">
        <v>24530.900390625</v>
      </c>
      <c r="D29" s="39">
        <f t="shared" si="0"/>
        <v>1.1733664001589705E-3</v>
      </c>
      <c r="F29" s="42">
        <v>45488</v>
      </c>
      <c r="G29" s="13">
        <v>5010.7001953125</v>
      </c>
      <c r="H29" s="36"/>
      <c r="I29" s="39">
        <f t="shared" si="1"/>
        <v>1.3562912886885936E-2</v>
      </c>
    </row>
    <row r="30" spans="1:22" x14ac:dyDescent="0.35">
      <c r="A30" s="41">
        <v>45495</v>
      </c>
      <c r="B30" s="13">
        <v>24834.849609375</v>
      </c>
      <c r="D30" s="39">
        <f t="shared" si="0"/>
        <v>1.2390463208034497E-2</v>
      </c>
      <c r="F30" s="42">
        <v>45495</v>
      </c>
      <c r="G30" s="13">
        <v>5071.60009765625</v>
      </c>
      <c r="I30" s="39">
        <f t="shared" si="1"/>
        <v>1.2153970497121636E-2</v>
      </c>
    </row>
    <row r="31" spans="1:22" x14ac:dyDescent="0.35">
      <c r="A31" s="41">
        <v>45502</v>
      </c>
      <c r="B31" s="13">
        <v>24717.69921875</v>
      </c>
      <c r="D31" s="39">
        <f t="shared" si="0"/>
        <v>-4.7171773724281607E-3</v>
      </c>
      <c r="F31" s="42">
        <v>45502</v>
      </c>
      <c r="G31" s="13">
        <v>4909.7001953125</v>
      </c>
      <c r="I31" s="39">
        <f t="shared" si="1"/>
        <v>-3.1922844709023734E-2</v>
      </c>
    </row>
    <row r="32" spans="1:22" x14ac:dyDescent="0.35">
      <c r="A32" s="41">
        <v>45509</v>
      </c>
      <c r="B32" s="13">
        <v>24367.5</v>
      </c>
      <c r="D32" s="39">
        <f t="shared" si="0"/>
        <v>-1.4167953726225035E-2</v>
      </c>
      <c r="F32" s="42">
        <v>45509</v>
      </c>
      <c r="G32" s="13">
        <v>4989.9501953125</v>
      </c>
      <c r="I32" s="39">
        <f t="shared" si="1"/>
        <v>1.6345193557158133E-2</v>
      </c>
    </row>
    <row r="33" spans="1:9" x14ac:dyDescent="0.35">
      <c r="A33" s="41">
        <v>45516</v>
      </c>
      <c r="B33" s="13">
        <v>24541.150390625</v>
      </c>
      <c r="D33" s="39">
        <f t="shared" si="0"/>
        <v>7.126311300913013E-3</v>
      </c>
      <c r="F33" s="42">
        <v>45516</v>
      </c>
      <c r="G33" s="13">
        <v>5021.2998046875</v>
      </c>
      <c r="I33" s="39">
        <f t="shared" si="1"/>
        <v>6.2825495541918297E-3</v>
      </c>
    </row>
    <row r="34" spans="1:9" x14ac:dyDescent="0.35">
      <c r="A34" s="41">
        <v>45523</v>
      </c>
      <c r="B34" s="13">
        <v>24823.150390625</v>
      </c>
      <c r="D34" s="39">
        <f t="shared" si="0"/>
        <v>1.1490903870086111E-2</v>
      </c>
      <c r="F34" s="42">
        <v>45523</v>
      </c>
      <c r="G34" s="13">
        <v>4901.5</v>
      </c>
      <c r="I34" s="39">
        <f t="shared" si="1"/>
        <v>-2.3858325403247949E-2</v>
      </c>
    </row>
    <row r="35" spans="1:9" x14ac:dyDescent="0.35">
      <c r="A35" s="41">
        <v>45530</v>
      </c>
      <c r="B35" s="13">
        <v>25235.900390625</v>
      </c>
      <c r="D35" s="39">
        <f t="shared" si="0"/>
        <v>1.6627623549180237E-2</v>
      </c>
      <c r="F35" s="42">
        <v>45530</v>
      </c>
      <c r="G35" s="13">
        <v>4927.4501953125</v>
      </c>
      <c r="I35" s="39">
        <f t="shared" si="1"/>
        <v>5.2943375114760105E-3</v>
      </c>
    </row>
    <row r="36" spans="1:9" x14ac:dyDescent="0.35">
      <c r="A36" s="41">
        <v>45537</v>
      </c>
      <c r="B36" s="13">
        <v>24852.150390625</v>
      </c>
      <c r="D36" s="39">
        <f t="shared" si="0"/>
        <v>-1.5206511123437516E-2</v>
      </c>
      <c r="F36" s="42">
        <v>45537</v>
      </c>
      <c r="G36" s="13">
        <v>5303.4501953125</v>
      </c>
      <c r="I36" s="39">
        <f t="shared" si="1"/>
        <v>7.6307214704613324E-2</v>
      </c>
    </row>
    <row r="37" spans="1:9" x14ac:dyDescent="0.35">
      <c r="A37" s="41">
        <v>45544</v>
      </c>
      <c r="B37" s="13">
        <v>25356.5</v>
      </c>
      <c r="D37" s="39">
        <f t="shared" si="0"/>
        <v>2.0294002790408605E-2</v>
      </c>
      <c r="F37" s="42">
        <v>45544</v>
      </c>
      <c r="G37" s="13">
        <v>5187.0498046875</v>
      </c>
      <c r="I37" s="39">
        <f t="shared" si="1"/>
        <v>-2.1948050106679884E-2</v>
      </c>
    </row>
    <row r="38" spans="1:9" x14ac:dyDescent="0.35">
      <c r="A38" s="41">
        <v>45551</v>
      </c>
      <c r="B38" s="13">
        <v>25790.94921875</v>
      </c>
      <c r="D38" s="39">
        <f t="shared" si="0"/>
        <v>1.7133643000808441E-2</v>
      </c>
      <c r="F38" s="42">
        <v>45551</v>
      </c>
      <c r="G38" s="13">
        <v>5320.5498046875</v>
      </c>
      <c r="I38" s="39">
        <f t="shared" si="1"/>
        <v>2.5737173350322662E-2</v>
      </c>
    </row>
    <row r="39" spans="1:9" x14ac:dyDescent="0.35">
      <c r="A39" s="41">
        <v>45558</v>
      </c>
      <c r="B39" s="13">
        <v>26178.94921875</v>
      </c>
      <c r="D39" s="39">
        <f t="shared" si="0"/>
        <v>1.5044037220542705E-2</v>
      </c>
      <c r="F39" s="42">
        <v>45558</v>
      </c>
      <c r="G39" s="13">
        <v>5102.2998046875</v>
      </c>
      <c r="I39" s="39">
        <f t="shared" si="1"/>
        <v>-4.1020196786376806E-2</v>
      </c>
    </row>
    <row r="40" spans="1:9" x14ac:dyDescent="0.35">
      <c r="A40" s="41">
        <v>45565</v>
      </c>
      <c r="B40" s="13">
        <v>25014.599609375</v>
      </c>
      <c r="D40" s="39">
        <f t="shared" si="0"/>
        <v>-4.4476560141728849E-2</v>
      </c>
      <c r="F40" s="42">
        <v>45565</v>
      </c>
      <c r="G40" s="13">
        <v>4737.5498046875</v>
      </c>
      <c r="I40" s="39">
        <f t="shared" si="1"/>
        <v>-7.1487371178170056E-2</v>
      </c>
    </row>
    <row r="41" spans="1:9" x14ac:dyDescent="0.35">
      <c r="A41" s="41">
        <v>45572</v>
      </c>
      <c r="B41" s="13">
        <v>24964.25</v>
      </c>
      <c r="D41" s="39">
        <f t="shared" si="0"/>
        <v>-2.0128089260372795E-3</v>
      </c>
      <c r="F41" s="42">
        <v>45572</v>
      </c>
      <c r="G41" s="13">
        <v>4572.7001953125</v>
      </c>
      <c r="I41" s="39">
        <f t="shared" si="1"/>
        <v>-3.4796385509634487E-2</v>
      </c>
    </row>
    <row r="42" spans="1:9" x14ac:dyDescent="0.35">
      <c r="A42" s="41">
        <v>45579</v>
      </c>
      <c r="B42" s="13">
        <v>24854.05078125</v>
      </c>
      <c r="D42" s="39">
        <f t="shared" si="0"/>
        <v>-4.4142811720760955E-3</v>
      </c>
      <c r="F42" s="42">
        <v>45579</v>
      </c>
      <c r="G42" s="13">
        <v>3986.69995117187</v>
      </c>
      <c r="I42" s="39">
        <f t="shared" si="1"/>
        <v>-0.12815190568175494</v>
      </c>
    </row>
    <row r="43" spans="1:9" x14ac:dyDescent="0.35">
      <c r="A43" s="41">
        <v>45586</v>
      </c>
      <c r="B43" s="13">
        <v>24180.80078125</v>
      </c>
      <c r="D43" s="39">
        <f t="shared" si="0"/>
        <v>-2.7088139713140946E-2</v>
      </c>
      <c r="F43" s="42">
        <v>45586</v>
      </c>
      <c r="G43" s="13">
        <v>4052.19995117187</v>
      </c>
      <c r="I43" s="39">
        <f t="shared" si="1"/>
        <v>1.6429628716037925E-2</v>
      </c>
    </row>
    <row r="44" spans="1:9" x14ac:dyDescent="0.35">
      <c r="A44" s="41">
        <v>45593</v>
      </c>
      <c r="B44" s="13">
        <v>24304.349609375</v>
      </c>
      <c r="D44" s="39">
        <f t="shared" si="0"/>
        <v>5.1093770319137199E-3</v>
      </c>
      <c r="F44" s="42">
        <v>45593</v>
      </c>
      <c r="G44" s="13">
        <v>4001.60009765625</v>
      </c>
      <c r="I44" s="39">
        <f t="shared" si="1"/>
        <v>-1.2487008075943273E-2</v>
      </c>
    </row>
    <row r="45" spans="1:9" x14ac:dyDescent="0.35">
      <c r="A45" s="41">
        <v>45600</v>
      </c>
      <c r="B45" s="13">
        <v>24148.19921875</v>
      </c>
      <c r="D45" s="39">
        <f t="shared" si="0"/>
        <v>-6.424791987223899E-3</v>
      </c>
      <c r="F45" s="42">
        <v>45600</v>
      </c>
      <c r="G45" s="13">
        <v>3874.5</v>
      </c>
      <c r="I45" s="39">
        <f t="shared" si="1"/>
        <v>-3.1762318711130777E-2</v>
      </c>
    </row>
    <row r="46" spans="1:9" x14ac:dyDescent="0.35">
      <c r="A46" s="41">
        <v>45607</v>
      </c>
      <c r="B46" s="13">
        <v>23532.69921875</v>
      </c>
      <c r="D46" s="39">
        <f t="shared" si="0"/>
        <v>-2.5488443027341434E-2</v>
      </c>
      <c r="F46" s="42">
        <v>45607</v>
      </c>
      <c r="G46" s="13">
        <v>3823.85009765625</v>
      </c>
      <c r="I46" s="39">
        <f t="shared" si="1"/>
        <v>-1.3072629331204011E-2</v>
      </c>
    </row>
    <row r="47" spans="1:9" x14ac:dyDescent="0.35">
      <c r="A47" s="41">
        <v>45614</v>
      </c>
      <c r="B47" s="13">
        <v>23907.25</v>
      </c>
      <c r="D47" s="39">
        <f t="shared" si="0"/>
        <v>1.5916184444815906E-2</v>
      </c>
      <c r="F47" s="42">
        <v>45614</v>
      </c>
      <c r="G47" s="13">
        <v>3613.64990234375</v>
      </c>
      <c r="I47" s="39">
        <f t="shared" si="1"/>
        <v>-5.4970825200846063E-2</v>
      </c>
    </row>
    <row r="48" spans="1:9" x14ac:dyDescent="0.35">
      <c r="A48" s="41">
        <v>45621</v>
      </c>
      <c r="B48" s="13">
        <v>24131.099609375</v>
      </c>
      <c r="D48" s="39">
        <f t="shared" si="0"/>
        <v>9.3632521254012335E-3</v>
      </c>
      <c r="F48" s="42">
        <v>45621</v>
      </c>
      <c r="G48" s="13">
        <v>3709.60009765625</v>
      </c>
      <c r="I48" s="39">
        <f t="shared" si="1"/>
        <v>2.6552155827344714E-2</v>
      </c>
    </row>
    <row r="49" spans="1:9" x14ac:dyDescent="0.35">
      <c r="A49" s="41">
        <v>45628</v>
      </c>
      <c r="B49" s="13">
        <v>24677.80078125</v>
      </c>
      <c r="D49" s="39">
        <f t="shared" si="0"/>
        <v>2.2655460411037609E-2</v>
      </c>
      <c r="F49" s="42">
        <v>45628</v>
      </c>
      <c r="G49" s="13">
        <v>3805.55004882812</v>
      </c>
      <c r="I49" s="39">
        <f t="shared" si="1"/>
        <v>2.5865308563176814E-2</v>
      </c>
    </row>
    <row r="50" spans="1:9" x14ac:dyDescent="0.35">
      <c r="A50" s="41">
        <v>45635</v>
      </c>
      <c r="B50" s="13">
        <v>24768.30078125</v>
      </c>
      <c r="D50" s="39">
        <f t="shared" si="0"/>
        <v>3.667263578396307E-3</v>
      </c>
      <c r="F50" s="42">
        <v>45635</v>
      </c>
      <c r="G50" s="13">
        <v>3652.30004882812</v>
      </c>
      <c r="I50" s="39">
        <f t="shared" si="1"/>
        <v>-4.0270131264517617E-2</v>
      </c>
    </row>
    <row r="51" spans="1:9" x14ac:dyDescent="0.35">
      <c r="A51" s="41">
        <v>45642</v>
      </c>
      <c r="B51" s="13">
        <v>23587.5</v>
      </c>
      <c r="D51" s="39">
        <f t="shared" si="0"/>
        <v>-4.7673871198458895E-2</v>
      </c>
      <c r="F51" s="42">
        <v>45642</v>
      </c>
      <c r="G51" s="13">
        <v>3408.30004882812</v>
      </c>
      <c r="I51" s="39">
        <f t="shared" si="1"/>
        <v>-6.6807216476721276E-2</v>
      </c>
    </row>
    <row r="52" spans="1:9" x14ac:dyDescent="0.35">
      <c r="A52" s="41">
        <v>45649</v>
      </c>
      <c r="B52" s="13">
        <v>23813.400390625</v>
      </c>
      <c r="D52" s="39">
        <f t="shared" si="0"/>
        <v>9.5771230789614137E-3</v>
      </c>
      <c r="F52" s="42">
        <v>45649</v>
      </c>
      <c r="G52" s="13">
        <v>3568.35009765625</v>
      </c>
      <c r="I52" s="39">
        <f t="shared" si="1"/>
        <v>4.6958908117012754E-2</v>
      </c>
    </row>
    <row r="53" spans="1:9" x14ac:dyDescent="0.35">
      <c r="A53" s="41">
        <v>45656</v>
      </c>
      <c r="B53" s="13">
        <v>24004.75</v>
      </c>
      <c r="D53" s="39">
        <f t="shared" si="0"/>
        <v>8.0353753028203911E-3</v>
      </c>
      <c r="F53" s="42">
        <v>45656</v>
      </c>
      <c r="G53" s="13">
        <v>4025.19995117187</v>
      </c>
      <c r="I53" s="39">
        <f t="shared" si="1"/>
        <v>0.12802831589189823</v>
      </c>
    </row>
    <row r="54" spans="1:9" x14ac:dyDescent="0.35">
      <c r="A54" s="41">
        <v>45663</v>
      </c>
      <c r="B54" s="13">
        <v>23431.5</v>
      </c>
      <c r="D54" s="39">
        <f t="shared" si="0"/>
        <v>-2.3880690280048689E-2</v>
      </c>
      <c r="F54" s="42">
        <v>45663</v>
      </c>
      <c r="G54" s="13">
        <v>3686.25</v>
      </c>
      <c r="I54" s="39">
        <f t="shared" si="1"/>
        <v>-8.4206984816540653E-2</v>
      </c>
    </row>
    <row r="55" spans="1:9" x14ac:dyDescent="0.35">
      <c r="A55" s="41">
        <v>45670</v>
      </c>
      <c r="B55" s="13">
        <v>23203.19921875</v>
      </c>
      <c r="D55" s="39">
        <f t="shared" si="0"/>
        <v>-9.7433276252053558E-3</v>
      </c>
      <c r="F55" s="42">
        <v>45670</v>
      </c>
      <c r="G55" s="13">
        <v>3620.64990234375</v>
      </c>
      <c r="I55" s="39">
        <f t="shared" si="1"/>
        <v>-1.779588949643951E-2</v>
      </c>
    </row>
    <row r="56" spans="1:9" x14ac:dyDescent="0.35">
      <c r="A56" s="41">
        <v>45677</v>
      </c>
      <c r="B56" s="13">
        <v>23092.19921875</v>
      </c>
      <c r="D56" s="39">
        <f t="shared" si="0"/>
        <v>-4.7838230820473893E-3</v>
      </c>
      <c r="F56" s="42">
        <v>45677</v>
      </c>
      <c r="G56" s="13">
        <v>3579.94995117187</v>
      </c>
      <c r="I56" s="39">
        <f t="shared" si="1"/>
        <v>-1.1241062314678252E-2</v>
      </c>
    </row>
    <row r="57" spans="1:9" x14ac:dyDescent="0.35">
      <c r="A57" s="41">
        <v>45684</v>
      </c>
      <c r="B57" s="13">
        <v>23482.150390625</v>
      </c>
      <c r="D57" s="39">
        <f t="shared" si="0"/>
        <v>1.688670568710382E-2</v>
      </c>
      <c r="F57" s="42">
        <v>45684</v>
      </c>
      <c r="G57" s="13">
        <v>4023.75</v>
      </c>
      <c r="I57" s="39">
        <f t="shared" si="1"/>
        <v>0.12396822717671108</v>
      </c>
    </row>
    <row r="58" spans="1:9" x14ac:dyDescent="0.35">
      <c r="A58" s="41">
        <v>45691</v>
      </c>
      <c r="B58" s="13">
        <v>23559.94921875</v>
      </c>
      <c r="D58" s="39">
        <f t="shared" si="0"/>
        <v>3.313104925691146E-3</v>
      </c>
      <c r="F58" s="42">
        <v>45691</v>
      </c>
      <c r="G58" s="13">
        <v>3743.5</v>
      </c>
      <c r="I58" s="39">
        <f t="shared" si="1"/>
        <v>-6.964895930413173E-2</v>
      </c>
    </row>
    <row r="59" spans="1:9" x14ac:dyDescent="0.35">
      <c r="A59" s="41">
        <v>45698</v>
      </c>
      <c r="B59" s="13">
        <v>22929.25</v>
      </c>
      <c r="D59" s="39">
        <f t="shared" si="0"/>
        <v>-2.6769973606227571E-2</v>
      </c>
      <c r="F59" s="42">
        <v>45698</v>
      </c>
      <c r="G59" s="13">
        <v>3682.64990234375</v>
      </c>
      <c r="I59" s="39">
        <f t="shared" si="1"/>
        <v>-1.6254867812541707E-2</v>
      </c>
    </row>
    <row r="60" spans="1:9" x14ac:dyDescent="0.35">
      <c r="A60" s="41">
        <v>45705</v>
      </c>
      <c r="B60" s="13">
        <v>22795.900390625</v>
      </c>
      <c r="D60" s="39">
        <f t="shared" si="0"/>
        <v>-5.8156986981693359E-3</v>
      </c>
      <c r="F60" s="42">
        <v>45705</v>
      </c>
      <c r="G60" s="13">
        <v>3596.69995117187</v>
      </c>
      <c r="I60" s="39">
        <f t="shared" si="1"/>
        <v>-2.333915888045146E-2</v>
      </c>
    </row>
    <row r="61" spans="1:9" x14ac:dyDescent="0.35">
      <c r="A61" s="41">
        <v>45712</v>
      </c>
      <c r="B61" s="13">
        <v>22124.69921875</v>
      </c>
      <c r="D61" s="39">
        <f t="shared" si="0"/>
        <v>-2.9443942128780209E-2</v>
      </c>
      <c r="F61" s="42">
        <v>45712</v>
      </c>
      <c r="G61" s="13">
        <v>3403.94995117187</v>
      </c>
      <c r="I61" s="39">
        <f t="shared" si="1"/>
        <v>-5.3590792286467681E-2</v>
      </c>
    </row>
    <row r="62" spans="1:9" x14ac:dyDescent="0.35">
      <c r="A62" s="41">
        <v>45719</v>
      </c>
      <c r="B62" s="13">
        <v>22552.5</v>
      </c>
      <c r="D62" s="39">
        <f t="shared" si="0"/>
        <v>1.9335891395416249E-2</v>
      </c>
      <c r="F62" s="42">
        <v>45719</v>
      </c>
      <c r="G62" s="13">
        <v>3593.60009765625</v>
      </c>
      <c r="I62" s="39">
        <f t="shared" si="1"/>
        <v>5.5714728243607015E-2</v>
      </c>
    </row>
    <row r="63" spans="1:9" x14ac:dyDescent="0.35">
      <c r="A63" s="41">
        <v>45726</v>
      </c>
      <c r="B63" s="13">
        <v>22397.19921875</v>
      </c>
      <c r="D63" s="39">
        <f t="shared" si="0"/>
        <v>-6.8861891697150623E-3</v>
      </c>
      <c r="F63" s="42">
        <v>45726</v>
      </c>
      <c r="G63" s="13">
        <v>3797.10009765625</v>
      </c>
      <c r="I63" s="39">
        <f t="shared" si="1"/>
        <v>5.6628449039926032E-2</v>
      </c>
    </row>
    <row r="64" spans="1:9" x14ac:dyDescent="0.35">
      <c r="A64" s="41">
        <v>45733</v>
      </c>
      <c r="B64" s="13">
        <v>23350.400390625</v>
      </c>
      <c r="D64" s="39">
        <f t="shared" si="0"/>
        <v>4.2558945096895062E-2</v>
      </c>
      <c r="F64" s="42">
        <v>45733</v>
      </c>
      <c r="G64" s="13">
        <v>3892.19995117187</v>
      </c>
      <c r="I64" s="39">
        <f t="shared" si="1"/>
        <v>2.504539018455687E-2</v>
      </c>
    </row>
    <row r="65" spans="1:9" x14ac:dyDescent="0.35">
      <c r="A65" s="41">
        <v>45740</v>
      </c>
      <c r="B65" s="13">
        <v>23519.349609375</v>
      </c>
      <c r="D65" s="39">
        <f t="shared" si="0"/>
        <v>7.2353885125597817E-3</v>
      </c>
      <c r="F65" s="42">
        <v>45740</v>
      </c>
      <c r="G65" s="13">
        <v>4083.19995117187</v>
      </c>
      <c r="I65" s="39">
        <f t="shared" si="1"/>
        <v>4.9072504597944322E-2</v>
      </c>
    </row>
    <row r="66" spans="1:9" x14ac:dyDescent="0.35">
      <c r="A66" s="41">
        <v>45747</v>
      </c>
      <c r="B66" s="13">
        <v>22904.44921875</v>
      </c>
      <c r="D66" s="39">
        <f t="shared" si="0"/>
        <v>-2.6144447054772924E-2</v>
      </c>
      <c r="F66" s="42">
        <v>45747</v>
      </c>
      <c r="G66" s="13">
        <v>4039.89990234375</v>
      </c>
      <c r="I66" s="39">
        <f t="shared" si="1"/>
        <v>-1.0604439984794989E-2</v>
      </c>
    </row>
    <row r="67" spans="1:9" x14ac:dyDescent="0.35">
      <c r="A67" s="41">
        <v>45754</v>
      </c>
      <c r="B67" s="13">
        <v>22828.55078125</v>
      </c>
      <c r="D67" s="39">
        <f t="shared" si="0"/>
        <v>-3.3136984336592512E-3</v>
      </c>
      <c r="F67" s="42">
        <v>45754</v>
      </c>
      <c r="G67" s="13">
        <v>4131.5</v>
      </c>
      <c r="I67" s="39">
        <f t="shared" si="1"/>
        <v>2.2673853281143908E-2</v>
      </c>
    </row>
    <row r="68" spans="1:9" x14ac:dyDescent="0.35">
      <c r="A68" s="41">
        <v>45761</v>
      </c>
      <c r="B68" s="13">
        <v>23851.650390625</v>
      </c>
      <c r="D68" s="39">
        <f t="shared" si="0"/>
        <v>4.4816669230502093E-2</v>
      </c>
      <c r="F68" s="42">
        <v>45761</v>
      </c>
      <c r="G68" s="13">
        <v>4357.10009765625</v>
      </c>
      <c r="I68" s="39">
        <f t="shared" si="1"/>
        <v>5.4604888698112086E-2</v>
      </c>
    </row>
    <row r="69" spans="1:9" x14ac:dyDescent="0.35">
      <c r="A69" s="41">
        <v>45768</v>
      </c>
      <c r="B69" s="13">
        <v>24039.349609375</v>
      </c>
      <c r="D69" s="39">
        <f t="shared" si="0"/>
        <v>7.8694436517390276E-3</v>
      </c>
      <c r="F69" s="42">
        <v>45768</v>
      </c>
      <c r="G69" s="13">
        <v>4375.2001953125</v>
      </c>
      <c r="I69" s="39">
        <f t="shared" si="1"/>
        <v>4.154161541064072E-3</v>
      </c>
    </row>
    <row r="70" spans="1:9" x14ac:dyDescent="0.35">
      <c r="A70" s="41">
        <v>45775</v>
      </c>
      <c r="B70" s="13">
        <v>24346.69921875</v>
      </c>
      <c r="D70" s="39">
        <f t="shared" si="0"/>
        <v>1.2785271414129218E-2</v>
      </c>
      <c r="F70" s="42">
        <v>45775</v>
      </c>
      <c r="G70" s="13">
        <v>4042.19995117187</v>
      </c>
      <c r="I70" s="39">
        <f t="shared" si="1"/>
        <v>-7.6110858766508471E-2</v>
      </c>
    </row>
    <row r="71" spans="1:9" x14ac:dyDescent="0.35">
      <c r="A71" s="41">
        <v>45782</v>
      </c>
      <c r="B71" s="13">
        <v>24008</v>
      </c>
      <c r="D71" s="39">
        <f t="shared" si="0"/>
        <v>-1.391150462355728E-2</v>
      </c>
      <c r="F71" s="42">
        <v>45782</v>
      </c>
      <c r="G71" s="13">
        <v>3972.39990234375</v>
      </c>
      <c r="I71" s="39">
        <f t="shared" si="1"/>
        <v>-1.7267836740209819E-2</v>
      </c>
    </row>
    <row r="72" spans="1:9" x14ac:dyDescent="0.35">
      <c r="A72" s="41">
        <v>45789</v>
      </c>
      <c r="B72" s="13">
        <v>25019.80078125</v>
      </c>
      <c r="D72" s="39">
        <f t="shared" ref="D72:D110" si="2">B72/B71-1</f>
        <v>4.2144317779490237E-2</v>
      </c>
      <c r="F72" s="42">
        <v>45789</v>
      </c>
      <c r="G72" s="13">
        <v>4189.7001953125</v>
      </c>
      <c r="I72" s="39">
        <f t="shared" ref="I72:I110" si="3">G72/G71-1</f>
        <v>5.4702521979355767E-2</v>
      </c>
    </row>
    <row r="73" spans="1:9" x14ac:dyDescent="0.35">
      <c r="A73" s="41">
        <v>45796</v>
      </c>
      <c r="B73" s="13">
        <v>24853.150390625</v>
      </c>
      <c r="D73" s="39">
        <f t="shared" si="2"/>
        <v>-6.6607401106841824E-3</v>
      </c>
      <c r="F73" s="42">
        <v>45796</v>
      </c>
      <c r="G73" s="13">
        <v>4140.7998046875</v>
      </c>
      <c r="I73" s="39">
        <f t="shared" si="3"/>
        <v>-1.1671572748739978E-2</v>
      </c>
    </row>
    <row r="74" spans="1:9" x14ac:dyDescent="0.35">
      <c r="A74" s="41">
        <v>45803</v>
      </c>
      <c r="B74" s="13">
        <v>24750.69921875</v>
      </c>
      <c r="D74" s="39">
        <f t="shared" si="2"/>
        <v>-4.1222609715364511E-3</v>
      </c>
      <c r="F74" s="42">
        <v>45803</v>
      </c>
      <c r="G74" s="13">
        <v>4002.10009765625</v>
      </c>
      <c r="I74" s="39">
        <f t="shared" si="3"/>
        <v>-3.349587364118356E-2</v>
      </c>
    </row>
    <row r="75" spans="1:9" x14ac:dyDescent="0.35">
      <c r="A75" s="41">
        <v>45810</v>
      </c>
      <c r="B75" s="13">
        <v>25003.05078125</v>
      </c>
      <c r="D75" s="39">
        <f t="shared" si="2"/>
        <v>1.0195734684894431E-2</v>
      </c>
      <c r="F75" s="42">
        <v>45810</v>
      </c>
      <c r="G75" s="13">
        <v>4201.60009765625</v>
      </c>
      <c r="I75" s="39">
        <f t="shared" si="3"/>
        <v>4.9848828148209678E-2</v>
      </c>
    </row>
    <row r="76" spans="1:9" x14ac:dyDescent="0.35">
      <c r="A76" s="41">
        <v>45817</v>
      </c>
      <c r="B76" s="13">
        <v>24718.599609375</v>
      </c>
      <c r="D76" s="39">
        <f t="shared" si="2"/>
        <v>-1.1376658567134212E-2</v>
      </c>
      <c r="F76" s="42">
        <v>45817</v>
      </c>
      <c r="G76" s="13">
        <v>4051.89990234375</v>
      </c>
      <c r="I76" s="39">
        <f t="shared" si="3"/>
        <v>-3.5629329739402471E-2</v>
      </c>
    </row>
    <row r="77" spans="1:9" x14ac:dyDescent="0.35">
      <c r="A77" s="41">
        <v>45824</v>
      </c>
      <c r="B77" s="13">
        <v>25112.400390625</v>
      </c>
      <c r="D77" s="39">
        <f t="shared" si="2"/>
        <v>1.5931354828881306E-2</v>
      </c>
      <c r="F77" s="42">
        <v>45824</v>
      </c>
      <c r="G77" s="13">
        <v>4300.2998046875</v>
      </c>
      <c r="I77" s="39">
        <f t="shared" si="3"/>
        <v>6.1304550539382108E-2</v>
      </c>
    </row>
    <row r="78" spans="1:9" x14ac:dyDescent="0.35">
      <c r="A78" s="41">
        <v>45831</v>
      </c>
      <c r="B78" s="13">
        <v>25637.80078125</v>
      </c>
      <c r="D78" s="39">
        <f t="shared" si="2"/>
        <v>2.092195020995069E-2</v>
      </c>
      <c r="F78" s="42">
        <v>45831</v>
      </c>
      <c r="G78" s="13">
        <v>4313.5</v>
      </c>
      <c r="I78" s="39">
        <f t="shared" si="3"/>
        <v>3.0695988447388967E-3</v>
      </c>
    </row>
    <row r="79" spans="1:9" x14ac:dyDescent="0.35">
      <c r="A79" s="41">
        <v>45838</v>
      </c>
      <c r="B79" s="13">
        <v>25461</v>
      </c>
      <c r="D79" s="39">
        <f t="shared" si="2"/>
        <v>-6.896097787736255E-3</v>
      </c>
      <c r="F79" s="42">
        <v>45838</v>
      </c>
      <c r="G79" s="13">
        <v>4261.10009765625</v>
      </c>
      <c r="I79" s="39">
        <f t="shared" si="3"/>
        <v>-1.2147885091862709E-2</v>
      </c>
    </row>
    <row r="80" spans="1:9" x14ac:dyDescent="0.35">
      <c r="A80" s="41">
        <v>45845</v>
      </c>
      <c r="B80" s="13">
        <v>25149.849609375</v>
      </c>
      <c r="D80" s="39">
        <f t="shared" si="2"/>
        <v>-1.2220666534111024E-2</v>
      </c>
      <c r="F80" s="42">
        <v>45845</v>
      </c>
      <c r="G80" s="13">
        <v>4064.19995117187</v>
      </c>
      <c r="I80" s="39">
        <f t="shared" si="3"/>
        <v>-4.6208758764592739E-2</v>
      </c>
    </row>
    <row r="81" spans="1:9" x14ac:dyDescent="0.35">
      <c r="A81" s="41">
        <v>45852</v>
      </c>
      <c r="B81" s="13">
        <v>24968.400390625</v>
      </c>
      <c r="D81" s="39">
        <f t="shared" si="2"/>
        <v>-7.2147238082235221E-3</v>
      </c>
      <c r="F81" s="42">
        <v>45852</v>
      </c>
      <c r="G81" s="13">
        <v>4048.60009765625</v>
      </c>
      <c r="I81" s="39">
        <f t="shared" si="3"/>
        <v>-3.8383577833374094E-3</v>
      </c>
    </row>
    <row r="82" spans="1:9" x14ac:dyDescent="0.35">
      <c r="A82" s="41">
        <v>45859</v>
      </c>
      <c r="B82" s="13">
        <v>24837</v>
      </c>
      <c r="D82" s="39">
        <f t="shared" si="2"/>
        <v>-5.2626675545597301E-3</v>
      </c>
      <c r="F82" s="42">
        <v>45859</v>
      </c>
      <c r="G82" s="13">
        <v>3997</v>
      </c>
      <c r="I82" s="39">
        <f t="shared" si="3"/>
        <v>-1.2745170283951057E-2</v>
      </c>
    </row>
    <row r="83" spans="1:9" x14ac:dyDescent="0.35">
      <c r="A83" s="41">
        <v>45866</v>
      </c>
      <c r="B83" s="13">
        <v>24565.349609375</v>
      </c>
      <c r="D83" s="39">
        <f t="shared" si="2"/>
        <v>-1.0937326997020547E-2</v>
      </c>
      <c r="F83" s="42">
        <v>45866</v>
      </c>
      <c r="G83" s="13">
        <v>4196</v>
      </c>
      <c r="I83" s="39">
        <f t="shared" si="3"/>
        <v>4.978734050537903E-2</v>
      </c>
    </row>
    <row r="84" spans="1:9" x14ac:dyDescent="0.35">
      <c r="A84" s="41">
        <v>45873</v>
      </c>
      <c r="B84" s="13">
        <v>24363.30078125</v>
      </c>
      <c r="D84" s="39">
        <f t="shared" si="2"/>
        <v>-8.2249522737462E-3</v>
      </c>
      <c r="F84" s="42">
        <v>45873</v>
      </c>
      <c r="G84" s="13">
        <v>4170.10009765625</v>
      </c>
      <c r="I84" s="39">
        <f t="shared" si="3"/>
        <v>-6.1725220075666831E-3</v>
      </c>
    </row>
    <row r="85" spans="1:9" x14ac:dyDescent="0.35">
      <c r="A85" s="41">
        <v>45880</v>
      </c>
      <c r="B85" s="13">
        <v>24631.30078125</v>
      </c>
      <c r="D85" s="39">
        <f t="shared" si="2"/>
        <v>1.1000151515029977E-2</v>
      </c>
      <c r="F85" s="42">
        <v>45880</v>
      </c>
      <c r="G85" s="13">
        <v>4358.2001953125</v>
      </c>
      <c r="I85" s="39">
        <f t="shared" si="3"/>
        <v>4.5106854332338298E-2</v>
      </c>
    </row>
    <row r="86" spans="1:9" x14ac:dyDescent="0.35">
      <c r="A86" s="41">
        <v>45887</v>
      </c>
      <c r="B86" s="13">
        <v>24870.099609375</v>
      </c>
      <c r="D86" s="39">
        <f t="shared" si="2"/>
        <v>9.6949337043044093E-3</v>
      </c>
      <c r="F86" s="42">
        <v>45887</v>
      </c>
      <c r="G86" s="13">
        <v>4698.7998046875</v>
      </c>
      <c r="I86" s="39">
        <f t="shared" si="3"/>
        <v>7.8151437316104744E-2</v>
      </c>
    </row>
    <row r="87" spans="1:9" x14ac:dyDescent="0.35">
      <c r="A87" s="41">
        <v>45894</v>
      </c>
      <c r="B87" s="13">
        <v>24426.849609375</v>
      </c>
      <c r="D87" s="39">
        <f t="shared" si="2"/>
        <v>-1.7822606542070796E-2</v>
      </c>
      <c r="F87" s="42">
        <v>45894</v>
      </c>
      <c r="G87" s="13">
        <v>4755.60009765625</v>
      </c>
      <c r="I87" s="39">
        <f t="shared" si="3"/>
        <v>1.2088255582220375E-2</v>
      </c>
    </row>
    <row r="88" spans="1:9" x14ac:dyDescent="0.35">
      <c r="A88" s="41">
        <v>45901</v>
      </c>
      <c r="B88" s="13">
        <v>24741</v>
      </c>
      <c r="D88" s="39">
        <f t="shared" si="2"/>
        <v>1.2860863993874538E-2</v>
      </c>
      <c r="F88" s="42">
        <v>45901</v>
      </c>
      <c r="G88" s="13">
        <v>4793.2998046875</v>
      </c>
      <c r="I88" s="39">
        <f t="shared" si="3"/>
        <v>7.9274342369177742E-3</v>
      </c>
    </row>
    <row r="89" spans="1:9" x14ac:dyDescent="0.35">
      <c r="A89" s="41">
        <v>45908</v>
      </c>
      <c r="B89" s="13">
        <v>25114</v>
      </c>
      <c r="D89" s="39">
        <f t="shared" si="2"/>
        <v>1.5076189321369338E-2</v>
      </c>
      <c r="F89" s="42">
        <v>45908</v>
      </c>
      <c r="G89" s="13">
        <v>4616.60009765625</v>
      </c>
      <c r="I89" s="39">
        <f t="shared" si="3"/>
        <v>-3.686389632011966E-2</v>
      </c>
    </row>
    <row r="90" spans="1:9" x14ac:dyDescent="0.35">
      <c r="A90" s="41">
        <v>45915</v>
      </c>
      <c r="B90" s="13">
        <v>25327.05078125</v>
      </c>
      <c r="D90" s="39">
        <f t="shared" si="2"/>
        <v>8.483347186827972E-3</v>
      </c>
      <c r="F90" s="42">
        <v>45915</v>
      </c>
      <c r="G90" s="13">
        <v>4775.2998046875</v>
      </c>
      <c r="I90" s="39">
        <f t="shared" si="3"/>
        <v>3.4375883480100011E-2</v>
      </c>
    </row>
    <row r="91" spans="1:9" x14ac:dyDescent="0.35">
      <c r="A91" s="41">
        <v>45922</v>
      </c>
      <c r="B91" s="13">
        <v>24654.69921875</v>
      </c>
      <c r="D91" s="39">
        <f t="shared" si="2"/>
        <v>-2.6546776737138011E-2</v>
      </c>
      <c r="F91" s="42">
        <v>45922</v>
      </c>
      <c r="G91" s="13">
        <v>4517.7998046875</v>
      </c>
      <c r="I91" s="39">
        <f t="shared" si="3"/>
        <v>-5.3923315924004234E-2</v>
      </c>
    </row>
    <row r="92" spans="1:9" x14ac:dyDescent="0.35">
      <c r="A92" s="41">
        <v>45929</v>
      </c>
      <c r="B92" s="13">
        <v>24894.25</v>
      </c>
      <c r="D92" s="39">
        <f t="shared" si="2"/>
        <v>9.7162321521173656E-3</v>
      </c>
      <c r="F92" s="42">
        <v>45929</v>
      </c>
      <c r="G92" s="13">
        <v>4418.39990234375</v>
      </c>
      <c r="I92" s="39">
        <f t="shared" si="3"/>
        <v>-2.200183864734695E-2</v>
      </c>
    </row>
    <row r="93" spans="1:9" x14ac:dyDescent="0.35">
      <c r="A93" s="41">
        <v>45936</v>
      </c>
      <c r="B93" s="13">
        <v>25285.349609375</v>
      </c>
      <c r="D93" s="39">
        <f t="shared" si="2"/>
        <v>1.5710439534229792E-2</v>
      </c>
      <c r="F93" s="42">
        <v>45936</v>
      </c>
      <c r="G93" s="13">
        <v>4320.39990234375</v>
      </c>
      <c r="I93" s="39">
        <f t="shared" si="3"/>
        <v>-2.2179975141683239E-2</v>
      </c>
    </row>
    <row r="94" spans="1:9" x14ac:dyDescent="0.35">
      <c r="A94" s="41">
        <v>45943</v>
      </c>
      <c r="B94" s="13">
        <v>25709.849609375</v>
      </c>
      <c r="D94" s="39">
        <f t="shared" si="2"/>
        <v>1.6788377719033409E-2</v>
      </c>
      <c r="F94" s="42">
        <v>45943</v>
      </c>
      <c r="G94" s="13">
        <v>4302.5</v>
      </c>
      <c r="I94" s="39">
        <f t="shared" si="3"/>
        <v>-4.1431123850456109E-3</v>
      </c>
    </row>
    <row r="95" spans="1:9" x14ac:dyDescent="0.35">
      <c r="A95" s="41">
        <v>45950</v>
      </c>
      <c r="B95" s="13">
        <v>25795.150390625</v>
      </c>
      <c r="D95" s="39">
        <f t="shared" si="2"/>
        <v>3.3178249793766046E-3</v>
      </c>
      <c r="F95" s="42">
        <v>45950</v>
      </c>
      <c r="G95" s="13">
        <v>4213.89990234375</v>
      </c>
      <c r="I95" s="39">
        <f t="shared" si="3"/>
        <v>-2.0592701372748379E-2</v>
      </c>
    </row>
    <row r="96" spans="1:9" x14ac:dyDescent="0.35">
      <c r="A96" s="41">
        <v>45957</v>
      </c>
      <c r="B96" s="13">
        <v>25722.099609375</v>
      </c>
      <c r="D96" s="39">
        <f t="shared" si="2"/>
        <v>-2.8319579511562054E-3</v>
      </c>
      <c r="F96" s="42">
        <v>45957</v>
      </c>
      <c r="G96" s="13">
        <v>4153.5</v>
      </c>
      <c r="I96" s="39">
        <f t="shared" si="3"/>
        <v>-1.4333492428274308E-2</v>
      </c>
    </row>
    <row r="97" spans="1:9" x14ac:dyDescent="0.35">
      <c r="A97" s="41">
        <v>45964</v>
      </c>
      <c r="B97" s="13">
        <v>25492.30078125</v>
      </c>
      <c r="D97" s="39">
        <f t="shared" si="2"/>
        <v>-8.9339063146013364E-3</v>
      </c>
      <c r="F97" s="42">
        <v>45964</v>
      </c>
      <c r="G97" s="13">
        <v>4011</v>
      </c>
      <c r="I97" s="39">
        <f t="shared" si="3"/>
        <v>-3.4308414590104697E-2</v>
      </c>
    </row>
    <row r="98" spans="1:9" x14ac:dyDescent="0.35">
      <c r="A98" s="41">
        <v>45971</v>
      </c>
      <c r="B98" s="13">
        <v>25910.05078125</v>
      </c>
      <c r="D98" s="39">
        <f t="shared" si="2"/>
        <v>1.6387300761305124E-2</v>
      </c>
      <c r="F98" s="42">
        <v>45971</v>
      </c>
      <c r="G98" s="13">
        <v>4053.69995117187</v>
      </c>
      <c r="I98" s="39">
        <f t="shared" si="3"/>
        <v>1.0645712084734527E-2</v>
      </c>
    </row>
    <row r="99" spans="1:9" x14ac:dyDescent="0.35">
      <c r="A99" s="41">
        <v>45978</v>
      </c>
      <c r="B99" s="13">
        <v>26068.150390625</v>
      </c>
      <c r="D99" s="39">
        <f t="shared" si="2"/>
        <v>6.1018641263879125E-3</v>
      </c>
      <c r="F99" s="42">
        <v>45978</v>
      </c>
      <c r="G99" s="13">
        <v>4038</v>
      </c>
      <c r="I99" s="39">
        <f t="shared" si="3"/>
        <v>-3.8729929104228678E-3</v>
      </c>
    </row>
    <row r="100" spans="1:9" x14ac:dyDescent="0.35">
      <c r="A100" s="41">
        <v>45985</v>
      </c>
      <c r="B100" s="13">
        <v>26202.94921875</v>
      </c>
      <c r="D100" s="39">
        <f t="shared" si="2"/>
        <v>5.1710162057940767E-3</v>
      </c>
      <c r="F100" s="42">
        <v>45985</v>
      </c>
      <c r="G100" s="13">
        <v>3996.5</v>
      </c>
      <c r="I100" s="39">
        <f t="shared" si="3"/>
        <v>-1.0277365032194119E-2</v>
      </c>
    </row>
    <row r="101" spans="1:9" x14ac:dyDescent="0.35">
      <c r="A101" s="41">
        <v>45992</v>
      </c>
      <c r="B101" s="13">
        <v>26186.44921875</v>
      </c>
      <c r="D101" s="39">
        <f t="shared" si="2"/>
        <v>-6.2970010979501723E-4</v>
      </c>
      <c r="F101" s="42">
        <v>45992</v>
      </c>
      <c r="G101" s="13">
        <v>3952.10009765625</v>
      </c>
      <c r="I101" s="39">
        <f t="shared" si="3"/>
        <v>-1.1109696570436589E-2</v>
      </c>
    </row>
    <row r="102" spans="1:9" x14ac:dyDescent="0.35">
      <c r="A102" s="41">
        <v>45999</v>
      </c>
      <c r="B102" s="13">
        <v>26046.94921875</v>
      </c>
      <c r="D102" s="39">
        <f t="shared" si="2"/>
        <v>-5.3271827285432671E-3</v>
      </c>
      <c r="F102" s="42">
        <v>45999</v>
      </c>
      <c r="G102" s="13">
        <v>3843</v>
      </c>
      <c r="I102" s="39">
        <f t="shared" si="3"/>
        <v>-2.7605600809794906E-2</v>
      </c>
    </row>
    <row r="103" spans="1:9" x14ac:dyDescent="0.35">
      <c r="A103" s="41">
        <v>46006</v>
      </c>
      <c r="B103" s="13">
        <v>25966.400390625</v>
      </c>
      <c r="D103" s="39">
        <f t="shared" si="2"/>
        <v>-3.0924476969846904E-3</v>
      </c>
      <c r="F103" s="42">
        <v>46006</v>
      </c>
      <c r="G103" s="13">
        <v>3819.5</v>
      </c>
      <c r="I103" s="39">
        <f t="shared" si="3"/>
        <v>-6.115014311735667E-3</v>
      </c>
    </row>
    <row r="104" spans="1:9" x14ac:dyDescent="0.35">
      <c r="A104" s="41">
        <v>46013</v>
      </c>
      <c r="B104" s="13">
        <v>26042.30078125</v>
      </c>
      <c r="D104" s="39">
        <f t="shared" si="2"/>
        <v>2.9230231947130481E-3</v>
      </c>
      <c r="F104" s="42">
        <v>46013</v>
      </c>
      <c r="G104" s="13">
        <v>3787.39990234375</v>
      </c>
      <c r="I104" s="39">
        <f t="shared" si="3"/>
        <v>-8.4042669606624321E-3</v>
      </c>
    </row>
    <row r="105" spans="1:9" x14ac:dyDescent="0.35">
      <c r="A105" s="41">
        <v>46020</v>
      </c>
      <c r="B105" s="13">
        <v>26328.55078125</v>
      </c>
      <c r="D105" s="39">
        <f t="shared" si="2"/>
        <v>1.099173235131734E-2</v>
      </c>
      <c r="F105" s="42">
        <v>46020</v>
      </c>
      <c r="G105" s="13">
        <v>3719.80004882812</v>
      </c>
      <c r="I105" s="39">
        <f t="shared" si="3"/>
        <v>-1.7848617853582716E-2</v>
      </c>
    </row>
    <row r="106" spans="1:9" x14ac:dyDescent="0.35">
      <c r="A106" s="41">
        <v>46027</v>
      </c>
      <c r="B106" s="13">
        <v>25683.30078125</v>
      </c>
      <c r="D106" s="39">
        <f t="shared" si="2"/>
        <v>-2.4507615529659854E-2</v>
      </c>
      <c r="F106" s="42">
        <v>46027</v>
      </c>
      <c r="G106" s="13">
        <v>3801.30004882812</v>
      </c>
      <c r="I106" s="39">
        <f t="shared" si="3"/>
        <v>2.1909779808104268E-2</v>
      </c>
    </row>
    <row r="107" spans="1:9" x14ac:dyDescent="0.35">
      <c r="A107" s="41">
        <v>46034</v>
      </c>
      <c r="B107" s="13">
        <v>25694.349609375</v>
      </c>
      <c r="D107" s="39">
        <f t="shared" si="2"/>
        <v>4.3019502123597952E-4</v>
      </c>
      <c r="F107" s="42">
        <v>46034</v>
      </c>
      <c r="G107" s="13">
        <v>3775.69995117187</v>
      </c>
      <c r="I107" s="39">
        <f t="shared" si="3"/>
        <v>-6.7345637880235065E-3</v>
      </c>
    </row>
    <row r="108" spans="1:9" x14ac:dyDescent="0.35">
      <c r="A108" s="41">
        <v>46041</v>
      </c>
      <c r="B108" s="13">
        <v>25048.650390625</v>
      </c>
      <c r="D108" s="39">
        <f t="shared" si="2"/>
        <v>-2.5130008292344796E-2</v>
      </c>
      <c r="F108" s="42">
        <v>46041</v>
      </c>
      <c r="G108" s="13">
        <v>3665.60009765625</v>
      </c>
      <c r="I108" s="39">
        <f t="shared" si="3"/>
        <v>-2.9160117313201228E-2</v>
      </c>
    </row>
    <row r="109" spans="1:9" x14ac:dyDescent="0.35">
      <c r="A109" s="41">
        <v>46048</v>
      </c>
      <c r="B109" s="13">
        <v>24825.44921875</v>
      </c>
      <c r="D109" s="39">
        <f t="shared" si="2"/>
        <v>-8.9107065009194075E-3</v>
      </c>
      <c r="F109" s="42">
        <v>46048</v>
      </c>
      <c r="G109" s="13">
        <v>3613.69995117187</v>
      </c>
      <c r="I109" s="39">
        <f t="shared" si="3"/>
        <v>-1.4158703923421556E-2</v>
      </c>
    </row>
    <row r="110" spans="1:9" ht="15" thickBot="1" x14ac:dyDescent="0.4">
      <c r="A110" s="41">
        <v>46055</v>
      </c>
      <c r="B110" s="13">
        <v>25556.849609375</v>
      </c>
      <c r="D110" s="40">
        <f t="shared" si="2"/>
        <v>2.9461718262588033E-2</v>
      </c>
      <c r="F110" s="42">
        <v>46055</v>
      </c>
      <c r="G110" s="13">
        <v>3883.89990234375</v>
      </c>
      <c r="I110" s="40">
        <f t="shared" si="3"/>
        <v>7.477099782018648E-2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F01B-A0D5-478C-AF60-E2460D72D62D}">
  <dimension ref="A1:V110"/>
  <sheetViews>
    <sheetView showGridLines="0" topLeftCell="A15" workbookViewId="0">
      <selection activeCell="P22" sqref="P22"/>
    </sheetView>
  </sheetViews>
  <sheetFormatPr defaultRowHeight="14.5" x14ac:dyDescent="0.35"/>
  <cols>
    <col min="1" max="1" width="10.453125" bestFit="1" customWidth="1"/>
    <col min="4" max="4" width="6.453125" bestFit="1" customWidth="1"/>
    <col min="6" max="6" width="10.453125" bestFit="1" customWidth="1"/>
    <col min="11" max="11" width="18.08984375" bestFit="1" customWidth="1"/>
    <col min="12" max="15" width="8.7265625" style="36"/>
    <col min="16" max="16" width="13.54296875" style="36" bestFit="1" customWidth="1"/>
    <col min="17" max="16384" width="8.7265625" style="36"/>
  </cols>
  <sheetData>
    <row r="1" spans="1:20" customFormat="1" x14ac:dyDescent="0.35"/>
    <row r="2" spans="1:20" customFormat="1" x14ac:dyDescent="0.35">
      <c r="O2" s="54" t="s">
        <v>73</v>
      </c>
      <c r="P2" s="55"/>
    </row>
    <row r="3" spans="1:20" customFormat="1" x14ac:dyDescent="0.35">
      <c r="B3" s="47" t="s">
        <v>100</v>
      </c>
      <c r="G3" s="47" t="s">
        <v>41</v>
      </c>
      <c r="K3" s="48" t="s">
        <v>75</v>
      </c>
      <c r="L3" s="48"/>
      <c r="O3" s="57" t="s">
        <v>74</v>
      </c>
      <c r="P3" s="56"/>
    </row>
    <row r="4" spans="1:20" customFormat="1" x14ac:dyDescent="0.35">
      <c r="O4" s="58" t="s">
        <v>44</v>
      </c>
      <c r="P4" s="59">
        <f>SLOPE(D7:D110,I7:I110)</f>
        <v>0.4733348669417522</v>
      </c>
    </row>
    <row r="5" spans="1:20" customFormat="1" ht="15" thickBot="1" x14ac:dyDescent="0.4">
      <c r="A5" s="49" t="s">
        <v>42</v>
      </c>
      <c r="B5" s="50" t="s">
        <v>43</v>
      </c>
      <c r="C5" s="51" t="s">
        <v>69</v>
      </c>
      <c r="D5" s="51"/>
      <c r="E5" s="49"/>
      <c r="F5" s="49" t="s">
        <v>42</v>
      </c>
      <c r="G5" s="49" t="s">
        <v>43</v>
      </c>
      <c r="H5" s="51" t="s">
        <v>69</v>
      </c>
      <c r="I5" s="51"/>
      <c r="K5" t="s">
        <v>78</v>
      </c>
      <c r="L5">
        <f>P5</f>
        <v>0.47333486694175214</v>
      </c>
      <c r="O5" s="60" t="s">
        <v>72</v>
      </c>
      <c r="P5" s="61">
        <f>_xlfn.COVARIANCE.S(D6:D110,I6:I110)/_xlfn.VAR.S(I6:I110)</f>
        <v>0.47333486694175214</v>
      </c>
    </row>
    <row r="6" spans="1:20" customFormat="1" ht="15.5" thickTop="1" thickBot="1" x14ac:dyDescent="0.4">
      <c r="A6" s="41">
        <v>45327</v>
      </c>
      <c r="B6" s="71">
        <v>3753.72045898437</v>
      </c>
      <c r="F6" s="42">
        <v>45327</v>
      </c>
      <c r="G6" s="13">
        <v>3719.19995117187</v>
      </c>
      <c r="K6" t="s">
        <v>77</v>
      </c>
      <c r="L6" s="23">
        <v>0.75</v>
      </c>
      <c r="O6" s="62" t="s">
        <v>45</v>
      </c>
      <c r="P6" s="63">
        <f>M31</f>
        <v>0.47333486694175264</v>
      </c>
    </row>
    <row r="7" spans="1:20" customFormat="1" x14ac:dyDescent="0.35">
      <c r="A7" s="41">
        <v>45334</v>
      </c>
      <c r="B7" s="71">
        <v>4018.359375</v>
      </c>
      <c r="D7" s="38">
        <f>B7/B6-1</f>
        <v>7.0500432546123148E-2</v>
      </c>
      <c r="F7" s="42">
        <v>45334</v>
      </c>
      <c r="G7" s="13">
        <v>3693.30004882812</v>
      </c>
      <c r="I7" s="38">
        <f>G7/G6-1</f>
        <v>-6.9638370304853092E-3</v>
      </c>
    </row>
    <row r="8" spans="1:20" customFormat="1" x14ac:dyDescent="0.35">
      <c r="A8" s="41">
        <v>45341</v>
      </c>
      <c r="B8" s="71">
        <v>3879.774658203125</v>
      </c>
      <c r="D8" s="39">
        <f t="shared" ref="D8:D71" si="0">B8/B7-1</f>
        <v>-3.4487885194906198E-2</v>
      </c>
      <c r="F8" s="42">
        <v>45341</v>
      </c>
      <c r="G8" s="13">
        <v>3840.55004882812</v>
      </c>
      <c r="I8" s="39">
        <f t="shared" ref="I8:I71" si="1">G8/G7-1</f>
        <v>3.98694928798764E-2</v>
      </c>
      <c r="K8" t="s">
        <v>79</v>
      </c>
      <c r="L8">
        <v>1</v>
      </c>
    </row>
    <row r="9" spans="1:20" customFormat="1" x14ac:dyDescent="0.35">
      <c r="A9" s="41">
        <v>45348</v>
      </c>
      <c r="B9" s="71">
        <v>3895.200439453125</v>
      </c>
      <c r="D9" s="39">
        <f t="shared" si="0"/>
        <v>3.9759477312386604E-3</v>
      </c>
      <c r="F9" s="42">
        <v>45348</v>
      </c>
      <c r="G9" s="13">
        <v>3884.14990234375</v>
      </c>
      <c r="I9" s="39">
        <f t="shared" si="1"/>
        <v>1.1352502365887363E-2</v>
      </c>
      <c r="K9" t="s">
        <v>76</v>
      </c>
      <c r="L9" s="8">
        <v>0.25</v>
      </c>
    </row>
    <row r="10" spans="1:20" customFormat="1" x14ac:dyDescent="0.35">
      <c r="A10" s="41">
        <v>45355</v>
      </c>
      <c r="B10" s="71">
        <v>3946.071533203125</v>
      </c>
      <c r="D10" s="39">
        <f t="shared" si="0"/>
        <v>1.3059942496089327E-2</v>
      </c>
      <c r="F10" s="42">
        <v>45355</v>
      </c>
      <c r="G10" s="13">
        <v>3925.94995117187</v>
      </c>
      <c r="I10" s="39">
        <f t="shared" si="1"/>
        <v>1.0761698152508714E-2</v>
      </c>
    </row>
    <row r="11" spans="1:20" x14ac:dyDescent="0.35">
      <c r="A11" s="41">
        <v>45362</v>
      </c>
      <c r="B11" s="71">
        <v>4057.598388671875</v>
      </c>
      <c r="D11" s="39">
        <f t="shared" si="0"/>
        <v>2.8262755636925929E-2</v>
      </c>
      <c r="F11" s="42">
        <v>45362</v>
      </c>
      <c r="G11" s="13">
        <v>3932.10009765625</v>
      </c>
      <c r="I11" s="39">
        <f t="shared" si="1"/>
        <v>1.5665371593807098E-3</v>
      </c>
      <c r="J11" s="36"/>
      <c r="K11" s="52" t="s">
        <v>80</v>
      </c>
      <c r="L11" s="53">
        <f>L6*L5+L9*L8</f>
        <v>0.60500115020631418</v>
      </c>
    </row>
    <row r="12" spans="1:20" x14ac:dyDescent="0.35">
      <c r="A12" s="41">
        <v>45369</v>
      </c>
      <c r="B12" s="71">
        <v>3942.4775390625</v>
      </c>
      <c r="D12" s="39">
        <f t="shared" si="0"/>
        <v>-2.8371671758046002E-2</v>
      </c>
      <c r="F12" s="42">
        <v>45369</v>
      </c>
      <c r="G12" s="13">
        <v>4297.60009765625</v>
      </c>
      <c r="H12" s="35"/>
      <c r="I12" s="39">
        <f t="shared" si="1"/>
        <v>9.2952872745497572E-2</v>
      </c>
      <c r="J12" s="36"/>
      <c r="K12" s="36"/>
      <c r="L12"/>
    </row>
    <row r="13" spans="1:20" x14ac:dyDescent="0.35">
      <c r="A13" s="41">
        <v>45376</v>
      </c>
      <c r="B13" s="71">
        <v>3941.878173828125</v>
      </c>
      <c r="D13" s="39">
        <f t="shared" si="0"/>
        <v>-1.5202755841636773E-4</v>
      </c>
      <c r="F13" s="42">
        <v>45376</v>
      </c>
      <c r="G13" s="13">
        <v>4525.60009765625</v>
      </c>
      <c r="H13" s="36"/>
      <c r="I13" s="39">
        <f t="shared" si="1"/>
        <v>5.3052865510763159E-2</v>
      </c>
      <c r="J13" s="36"/>
      <c r="K13" s="36"/>
      <c r="L13"/>
      <c r="N13" s="74"/>
      <c r="O13" s="74"/>
    </row>
    <row r="14" spans="1:20" x14ac:dyDescent="0.35">
      <c r="A14" s="41">
        <v>45383</v>
      </c>
      <c r="B14" s="71">
        <v>3926.501953125</v>
      </c>
      <c r="D14" s="39">
        <f t="shared" si="0"/>
        <v>-3.9007346308200797E-3</v>
      </c>
      <c r="F14" s="42">
        <v>45383</v>
      </c>
      <c r="G14" s="13">
        <v>4619.25</v>
      </c>
      <c r="H14" s="36"/>
      <c r="I14" s="39">
        <f t="shared" si="1"/>
        <v>2.0693366696772353E-2</v>
      </c>
      <c r="J14" s="36"/>
      <c r="K14" s="36"/>
      <c r="L14" t="s">
        <v>46</v>
      </c>
      <c r="M14"/>
      <c r="N14"/>
      <c r="O14"/>
      <c r="P14"/>
      <c r="Q14"/>
      <c r="R14"/>
      <c r="S14"/>
      <c r="T14"/>
    </row>
    <row r="15" spans="1:20" ht="15" thickBot="1" x14ac:dyDescent="0.4">
      <c r="A15" s="41">
        <v>45390</v>
      </c>
      <c r="B15" s="71">
        <v>4047.56396484375</v>
      </c>
      <c r="D15" s="39">
        <f t="shared" si="0"/>
        <v>3.0832026359340015E-2</v>
      </c>
      <c r="F15" s="42">
        <v>45390</v>
      </c>
      <c r="G15" s="13">
        <v>4765.0498046875</v>
      </c>
      <c r="H15" s="36"/>
      <c r="I15" s="39">
        <f t="shared" si="1"/>
        <v>3.1563523231585178E-2</v>
      </c>
      <c r="J15" s="36"/>
      <c r="K15" s="36"/>
      <c r="L15"/>
      <c r="M15"/>
      <c r="N15"/>
      <c r="O15"/>
      <c r="P15"/>
      <c r="Q15"/>
      <c r="R15"/>
      <c r="S15"/>
      <c r="T15"/>
    </row>
    <row r="16" spans="1:20" x14ac:dyDescent="0.35">
      <c r="A16" s="41">
        <v>45397</v>
      </c>
      <c r="B16" s="71">
        <v>4152.5009765625</v>
      </c>
      <c r="D16" s="39">
        <f t="shared" si="0"/>
        <v>2.5925967478268364E-2</v>
      </c>
      <c r="F16" s="42">
        <v>45397</v>
      </c>
      <c r="G16" s="13">
        <v>4696</v>
      </c>
      <c r="H16" s="36"/>
      <c r="I16" s="39">
        <f t="shared" si="1"/>
        <v>-1.4490888346974651E-2</v>
      </c>
      <c r="J16" s="36"/>
      <c r="K16" s="36"/>
      <c r="L16" s="46" t="s">
        <v>47</v>
      </c>
      <c r="M16" s="46"/>
      <c r="N16"/>
      <c r="O16"/>
      <c r="P16"/>
      <c r="Q16"/>
      <c r="R16"/>
      <c r="S16"/>
      <c r="T16"/>
    </row>
    <row r="17" spans="1:22" x14ac:dyDescent="0.35">
      <c r="A17" s="41">
        <v>45404</v>
      </c>
      <c r="B17" s="71">
        <v>4298.1748046875</v>
      </c>
      <c r="D17" s="39">
        <f t="shared" si="0"/>
        <v>3.5080985879885507E-2</v>
      </c>
      <c r="F17" s="42">
        <v>45404</v>
      </c>
      <c r="G17" s="13">
        <v>4553.14990234375</v>
      </c>
      <c r="H17" s="36"/>
      <c r="I17" s="39">
        <f t="shared" si="1"/>
        <v>-3.0419526758145188E-2</v>
      </c>
      <c r="J17" s="36"/>
      <c r="K17" s="36"/>
      <c r="L17" s="43" t="s">
        <v>48</v>
      </c>
      <c r="M17" s="43">
        <v>0.39246460687524276</v>
      </c>
      <c r="N17"/>
      <c r="O17"/>
      <c r="P17"/>
      <c r="Q17"/>
      <c r="R17"/>
      <c r="S17"/>
      <c r="T17"/>
    </row>
    <row r="18" spans="1:22" x14ac:dyDescent="0.35">
      <c r="A18" s="41">
        <v>45411</v>
      </c>
      <c r="B18" s="71">
        <v>4516.6357421875</v>
      </c>
      <c r="D18" s="39">
        <f t="shared" si="0"/>
        <v>5.0826443182755421E-2</v>
      </c>
      <c r="F18" s="42">
        <v>45411</v>
      </c>
      <c r="G18" s="13">
        <v>4612.35009765625</v>
      </c>
      <c r="H18" s="36"/>
      <c r="I18" s="39">
        <f t="shared" si="1"/>
        <v>1.3002030809929233E-2</v>
      </c>
      <c r="J18" s="36"/>
      <c r="K18" s="36"/>
      <c r="L18" s="43" t="s">
        <v>49</v>
      </c>
      <c r="M18" s="43">
        <v>0.15402846764973885</v>
      </c>
      <c r="N18"/>
      <c r="O18"/>
      <c r="P18"/>
      <c r="Q18"/>
      <c r="R18"/>
      <c r="S18"/>
      <c r="T18"/>
    </row>
    <row r="19" spans="1:22" x14ac:dyDescent="0.35">
      <c r="A19" s="41">
        <v>45418</v>
      </c>
      <c r="B19" s="71">
        <v>4464.466796875</v>
      </c>
      <c r="D19" s="39">
        <f t="shared" si="0"/>
        <v>-1.1550399078060991E-2</v>
      </c>
      <c r="F19" s="42">
        <v>45418</v>
      </c>
      <c r="G19" s="13">
        <v>4796.7998046875</v>
      </c>
      <c r="H19" s="36"/>
      <c r="I19" s="39">
        <f t="shared" si="1"/>
        <v>3.9990396029342401E-2</v>
      </c>
      <c r="J19" s="37"/>
      <c r="K19" s="37"/>
      <c r="L19" s="43" t="s">
        <v>50</v>
      </c>
      <c r="M19" s="43">
        <v>0.1457346290972853</v>
      </c>
      <c r="N19"/>
      <c r="O19"/>
      <c r="P19"/>
      <c r="Q19"/>
      <c r="R19"/>
      <c r="S19"/>
      <c r="T19"/>
    </row>
    <row r="20" spans="1:22" x14ac:dyDescent="0.35">
      <c r="A20" s="41">
        <v>45425</v>
      </c>
      <c r="B20" s="71">
        <v>4635.80029296875</v>
      </c>
      <c r="D20" s="39">
        <f t="shared" si="0"/>
        <v>3.837714645199708E-2</v>
      </c>
      <c r="F20" s="42">
        <v>45425</v>
      </c>
      <c r="G20" s="13">
        <v>4670.64990234375</v>
      </c>
      <c r="H20" s="37"/>
      <c r="I20" s="39">
        <f t="shared" si="1"/>
        <v>-2.6298763233869926E-2</v>
      </c>
      <c r="J20" s="36"/>
      <c r="K20" s="36"/>
      <c r="L20" s="43" t="s">
        <v>51</v>
      </c>
      <c r="M20" s="43">
        <v>4.8396060312444665E-2</v>
      </c>
      <c r="N20"/>
      <c r="O20"/>
      <c r="P20"/>
      <c r="Q20"/>
      <c r="R20"/>
      <c r="S20"/>
      <c r="T20"/>
    </row>
    <row r="21" spans="1:22" ht="15" thickBot="1" x14ac:dyDescent="0.4">
      <c r="A21" s="41">
        <v>45432</v>
      </c>
      <c r="B21" s="71">
        <v>4708.087890625</v>
      </c>
      <c r="D21" s="39">
        <f t="shared" si="0"/>
        <v>1.5593337307021393E-2</v>
      </c>
      <c r="F21" s="42">
        <v>45432</v>
      </c>
      <c r="G21" s="13">
        <v>4684.5</v>
      </c>
      <c r="H21" s="36"/>
      <c r="I21" s="39">
        <f t="shared" si="1"/>
        <v>2.9653469957788836E-3</v>
      </c>
      <c r="J21" s="36"/>
      <c r="K21" s="36"/>
      <c r="L21" s="44" t="s">
        <v>52</v>
      </c>
      <c r="M21" s="44">
        <v>104</v>
      </c>
      <c r="N21"/>
      <c r="O21"/>
      <c r="P21"/>
      <c r="Q21"/>
      <c r="R21"/>
      <c r="S21"/>
      <c r="T21"/>
    </row>
    <row r="22" spans="1:22" x14ac:dyDescent="0.35">
      <c r="A22" s="41">
        <v>45439</v>
      </c>
      <c r="B22" s="71">
        <v>4555.20361328125</v>
      </c>
      <c r="D22" s="39">
        <f t="shared" si="0"/>
        <v>-3.2472689740601801E-2</v>
      </c>
      <c r="F22" s="42">
        <v>45439</v>
      </c>
      <c r="G22" s="13">
        <v>4302.14990234375</v>
      </c>
      <c r="H22" s="36"/>
      <c r="I22" s="39">
        <f t="shared" si="1"/>
        <v>-8.1620257798324269E-2</v>
      </c>
      <c r="J22" s="36"/>
      <c r="K22" s="36"/>
      <c r="L22"/>
      <c r="M22"/>
      <c r="N22"/>
      <c r="O22"/>
      <c r="P22"/>
      <c r="Q22"/>
      <c r="R22"/>
      <c r="S22"/>
      <c r="T22"/>
    </row>
    <row r="23" spans="1:22" ht="15" thickBot="1" x14ac:dyDescent="0.4">
      <c r="A23" s="41">
        <v>45446</v>
      </c>
      <c r="B23" s="71">
        <v>4960.302734375</v>
      </c>
      <c r="D23" s="39">
        <f t="shared" si="0"/>
        <v>8.893106773814341E-2</v>
      </c>
      <c r="F23" s="42">
        <v>45446</v>
      </c>
      <c r="G23" s="13">
        <v>4747.25</v>
      </c>
      <c r="H23" s="36"/>
      <c r="I23" s="39">
        <f t="shared" si="1"/>
        <v>0.10345992300588258</v>
      </c>
      <c r="J23" s="36"/>
      <c r="K23" s="36"/>
      <c r="L23" t="s">
        <v>53</v>
      </c>
      <c r="M23"/>
      <c r="N23"/>
      <c r="O23"/>
      <c r="P23"/>
      <c r="Q23"/>
      <c r="R23"/>
      <c r="S23"/>
      <c r="T23"/>
    </row>
    <row r="24" spans="1:22" x14ac:dyDescent="0.35">
      <c r="A24" s="41">
        <v>45453</v>
      </c>
      <c r="B24" s="71">
        <v>5241.00927734375</v>
      </c>
      <c r="D24" s="39">
        <f t="shared" si="0"/>
        <v>5.6590607065864829E-2</v>
      </c>
      <c r="F24" s="42">
        <v>45453</v>
      </c>
      <c r="G24" s="13">
        <v>4739.9501953125</v>
      </c>
      <c r="H24" s="36"/>
      <c r="I24" s="39">
        <f t="shared" si="1"/>
        <v>-1.5376912291326095E-3</v>
      </c>
      <c r="J24" s="37"/>
      <c r="K24" s="37"/>
      <c r="L24" s="45"/>
      <c r="M24" s="45" t="s">
        <v>54</v>
      </c>
      <c r="N24" s="45" t="s">
        <v>55</v>
      </c>
      <c r="O24" s="45" t="s">
        <v>56</v>
      </c>
      <c r="P24" s="45" t="s">
        <v>57</v>
      </c>
      <c r="Q24" s="45" t="s">
        <v>58</v>
      </c>
      <c r="R24"/>
      <c r="S24"/>
      <c r="T24"/>
    </row>
    <row r="25" spans="1:22" x14ac:dyDescent="0.35">
      <c r="A25" s="41">
        <v>45460</v>
      </c>
      <c r="B25" s="71">
        <v>5261.79150390625</v>
      </c>
      <c r="D25" s="39">
        <f t="shared" si="0"/>
        <v>3.9653100123937524E-3</v>
      </c>
      <c r="F25" s="42">
        <v>45460</v>
      </c>
      <c r="G25" s="13">
        <v>4804.85009765625</v>
      </c>
      <c r="H25" s="37"/>
      <c r="I25" s="39">
        <f t="shared" si="1"/>
        <v>1.3692106387094949E-2</v>
      </c>
      <c r="J25" s="36"/>
      <c r="K25" s="36"/>
      <c r="L25" s="43" t="s">
        <v>59</v>
      </c>
      <c r="M25" s="43">
        <v>1</v>
      </c>
      <c r="N25" s="43">
        <v>4.3497614128834045E-2</v>
      </c>
      <c r="O25" s="43">
        <v>4.3497614128834045E-2</v>
      </c>
      <c r="P25" s="43">
        <v>18.571433079580878</v>
      </c>
      <c r="Q25" s="43">
        <v>3.7790923512433412E-5</v>
      </c>
      <c r="R25"/>
      <c r="S25"/>
      <c r="T25"/>
    </row>
    <row r="26" spans="1:22" x14ac:dyDescent="0.35">
      <c r="A26" s="41">
        <v>45467</v>
      </c>
      <c r="B26" s="71">
        <v>5475.10693359375</v>
      </c>
      <c r="D26" s="39">
        <f t="shared" si="0"/>
        <v>4.054045652115601E-2</v>
      </c>
      <c r="F26" s="42">
        <v>45467</v>
      </c>
      <c r="G26" s="13">
        <v>4716.75</v>
      </c>
      <c r="H26" s="36"/>
      <c r="I26" s="39">
        <f t="shared" si="1"/>
        <v>-1.8335659982238406E-2</v>
      </c>
      <c r="J26" s="36"/>
      <c r="K26" s="36"/>
      <c r="L26" s="43" t="s">
        <v>60</v>
      </c>
      <c r="M26" s="43">
        <v>102</v>
      </c>
      <c r="N26" s="43">
        <v>0.23890222268410974</v>
      </c>
      <c r="O26" s="43">
        <v>2.3421786537657818E-3</v>
      </c>
      <c r="P26" s="43"/>
      <c r="Q26" s="43"/>
      <c r="R26"/>
      <c r="S26"/>
      <c r="T26"/>
      <c r="U26" s="74"/>
      <c r="V26" s="74"/>
    </row>
    <row r="27" spans="1:22" ht="15" thickBot="1" x14ac:dyDescent="0.4">
      <c r="A27" s="41">
        <v>45474</v>
      </c>
      <c r="B27" s="71">
        <v>5615.03564453125</v>
      </c>
      <c r="D27" s="39">
        <f t="shared" si="0"/>
        <v>2.5557256257213057E-2</v>
      </c>
      <c r="F27" s="42">
        <v>45474</v>
      </c>
      <c r="G27" s="13">
        <v>4853.10009765625</v>
      </c>
      <c r="H27" s="36"/>
      <c r="I27" s="39">
        <f t="shared" si="1"/>
        <v>2.8907637177346679E-2</v>
      </c>
      <c r="J27" s="36"/>
      <c r="K27" s="36"/>
      <c r="L27" s="44" t="s">
        <v>61</v>
      </c>
      <c r="M27" s="44">
        <v>103</v>
      </c>
      <c r="N27" s="44">
        <v>0.28239983681294378</v>
      </c>
      <c r="O27" s="44"/>
      <c r="P27" s="44"/>
      <c r="Q27" s="44"/>
      <c r="R27"/>
      <c r="S27"/>
      <c r="T27"/>
      <c r="U27" s="43"/>
      <c r="V27" s="43"/>
    </row>
    <row r="28" spans="1:22" ht="15" thickBot="1" x14ac:dyDescent="0.4">
      <c r="A28" s="41">
        <v>45481</v>
      </c>
      <c r="B28" s="71">
        <v>5646.3583984375</v>
      </c>
      <c r="D28" s="39">
        <f t="shared" si="0"/>
        <v>5.5783713388812828E-3</v>
      </c>
      <c r="F28" s="42">
        <v>45481</v>
      </c>
      <c r="G28" s="13">
        <v>4943.64990234375</v>
      </c>
      <c r="H28" s="36"/>
      <c r="I28" s="39">
        <f t="shared" si="1"/>
        <v>1.8658136627190069E-2</v>
      </c>
      <c r="J28" s="36"/>
      <c r="K28" s="36"/>
      <c r="L28"/>
      <c r="M28"/>
      <c r="N28"/>
      <c r="O28"/>
      <c r="P28"/>
      <c r="Q28"/>
      <c r="R28"/>
      <c r="S28"/>
      <c r="T28"/>
      <c r="U28" s="43"/>
      <c r="V28" s="43"/>
    </row>
    <row r="29" spans="1:22" x14ac:dyDescent="0.35">
      <c r="A29" s="41">
        <v>45488</v>
      </c>
      <c r="B29" s="71">
        <v>5161.87841796875</v>
      </c>
      <c r="D29" s="39">
        <f t="shared" si="0"/>
        <v>-8.5803972451132138E-2</v>
      </c>
      <c r="F29" s="42">
        <v>45488</v>
      </c>
      <c r="G29" s="13">
        <v>5010.7001953125</v>
      </c>
      <c r="H29" s="36"/>
      <c r="I29" s="39">
        <f t="shared" si="1"/>
        <v>1.3562912886885936E-2</v>
      </c>
      <c r="L29" s="45"/>
      <c r="M29" s="45" t="s">
        <v>62</v>
      </c>
      <c r="N29" s="45" t="s">
        <v>51</v>
      </c>
      <c r="O29" s="45" t="s">
        <v>63</v>
      </c>
      <c r="P29" s="45" t="s">
        <v>64</v>
      </c>
      <c r="Q29" s="45" t="s">
        <v>65</v>
      </c>
      <c r="R29" s="45" t="s">
        <v>66</v>
      </c>
      <c r="S29" s="45" t="s">
        <v>70</v>
      </c>
      <c r="T29" s="45" t="s">
        <v>71</v>
      </c>
    </row>
    <row r="30" spans="1:22" x14ac:dyDescent="0.35">
      <c r="A30" s="41">
        <v>45495</v>
      </c>
      <c r="B30" s="71">
        <v>5388.681640625</v>
      </c>
      <c r="D30" s="39">
        <f t="shared" si="0"/>
        <v>4.3938117927523557E-2</v>
      </c>
      <c r="F30" s="42">
        <v>45495</v>
      </c>
      <c r="G30" s="13">
        <v>5071.60009765625</v>
      </c>
      <c r="I30" s="39">
        <f t="shared" si="1"/>
        <v>1.2153970497121636E-2</v>
      </c>
      <c r="L30" s="43" t="s">
        <v>67</v>
      </c>
      <c r="M30" s="43">
        <v>1.6181167615412564E-3</v>
      </c>
      <c r="N30" s="43">
        <v>4.7479181144283542E-3</v>
      </c>
      <c r="O30" s="43">
        <v>0.34080553256046969</v>
      </c>
      <c r="P30" s="43">
        <v>0.73395095195695892</v>
      </c>
      <c r="Q30" s="43">
        <v>-7.7993563064721987E-3</v>
      </c>
      <c r="R30" s="43">
        <v>1.1035589829554712E-2</v>
      </c>
      <c r="S30" s="43">
        <v>-7.7993563064721987E-3</v>
      </c>
      <c r="T30" s="43">
        <v>1.1035589829554712E-2</v>
      </c>
    </row>
    <row r="31" spans="1:22" ht="15" thickBot="1" x14ac:dyDescent="0.4">
      <c r="A31" s="41">
        <v>45502</v>
      </c>
      <c r="B31" s="71">
        <v>5533.4560546875</v>
      </c>
      <c r="D31" s="39">
        <f t="shared" si="0"/>
        <v>2.6866388426262322E-2</v>
      </c>
      <c r="F31" s="42">
        <v>45502</v>
      </c>
      <c r="G31" s="13">
        <v>4909.7001953125</v>
      </c>
      <c r="I31" s="39">
        <f t="shared" si="1"/>
        <v>-3.1922844709023734E-2</v>
      </c>
      <c r="L31" s="44" t="s">
        <v>68</v>
      </c>
      <c r="M31" s="44">
        <v>0.47333486694175264</v>
      </c>
      <c r="N31" s="44">
        <v>0.10983627301700909</v>
      </c>
      <c r="O31" s="44">
        <v>4.3094585599099187</v>
      </c>
      <c r="P31" s="44">
        <v>3.7790923512433582E-5</v>
      </c>
      <c r="Q31" s="44">
        <v>0.25547514019429701</v>
      </c>
      <c r="R31" s="44">
        <v>0.69119459368920833</v>
      </c>
      <c r="S31" s="44">
        <v>0.25547514019429701</v>
      </c>
      <c r="T31" s="44">
        <v>0.69119459368920833</v>
      </c>
    </row>
    <row r="32" spans="1:22" x14ac:dyDescent="0.35">
      <c r="A32" s="41">
        <v>45509</v>
      </c>
      <c r="B32" s="71">
        <v>6269.91845703125</v>
      </c>
      <c r="D32" s="39">
        <f t="shared" si="0"/>
        <v>0.13309266307805556</v>
      </c>
      <c r="F32" s="42">
        <v>45509</v>
      </c>
      <c r="G32" s="13">
        <v>4989.9501953125</v>
      </c>
      <c r="I32" s="39">
        <f t="shared" si="1"/>
        <v>1.6345193557158133E-2</v>
      </c>
      <c r="L32"/>
      <c r="M32"/>
      <c r="N32"/>
      <c r="O32"/>
      <c r="P32"/>
      <c r="Q32"/>
      <c r="R32"/>
      <c r="S32"/>
      <c r="T32"/>
    </row>
    <row r="33" spans="1:20" x14ac:dyDescent="0.35">
      <c r="A33" s="41">
        <v>45516</v>
      </c>
      <c r="B33" s="71">
        <v>6496.771484375</v>
      </c>
      <c r="D33" s="39">
        <f t="shared" si="0"/>
        <v>3.618117666097409E-2</v>
      </c>
      <c r="F33" s="42">
        <v>45516</v>
      </c>
      <c r="G33" s="13">
        <v>5021.2998046875</v>
      </c>
      <c r="I33" s="39">
        <f t="shared" si="1"/>
        <v>6.2825495541918297E-3</v>
      </c>
      <c r="L33"/>
      <c r="M33"/>
      <c r="N33"/>
      <c r="O33"/>
      <c r="P33"/>
      <c r="Q33"/>
      <c r="R33"/>
      <c r="S33"/>
      <c r="T33"/>
    </row>
    <row r="34" spans="1:20" x14ac:dyDescent="0.35">
      <c r="A34" s="41">
        <v>45523</v>
      </c>
      <c r="B34" s="71">
        <v>6942.7353515625</v>
      </c>
      <c r="D34" s="39">
        <f t="shared" si="0"/>
        <v>6.8643920793591384E-2</v>
      </c>
      <c r="F34" s="42">
        <v>45523</v>
      </c>
      <c r="G34" s="13">
        <v>4901.5</v>
      </c>
      <c r="I34" s="39">
        <f t="shared" si="1"/>
        <v>-2.3858325403247949E-2</v>
      </c>
      <c r="L34"/>
      <c r="M34"/>
      <c r="N34"/>
      <c r="O34"/>
      <c r="P34"/>
      <c r="Q34"/>
      <c r="R34"/>
      <c r="S34"/>
      <c r="T34"/>
    </row>
    <row r="35" spans="1:20" x14ac:dyDescent="0.35">
      <c r="A35" s="41">
        <v>45530</v>
      </c>
      <c r="B35" s="71">
        <v>7152.5537109375</v>
      </c>
      <c r="D35" s="39">
        <f t="shared" si="0"/>
        <v>3.022128149069947E-2</v>
      </c>
      <c r="F35" s="42">
        <v>45530</v>
      </c>
      <c r="G35" s="13">
        <v>4927.4501953125</v>
      </c>
      <c r="I35" s="39">
        <f t="shared" si="1"/>
        <v>5.2943375114760105E-3</v>
      </c>
    </row>
    <row r="36" spans="1:20" x14ac:dyDescent="0.35">
      <c r="A36" s="41">
        <v>45537</v>
      </c>
      <c r="B36" s="71">
        <v>7097.4013671875</v>
      </c>
      <c r="D36" s="39">
        <f t="shared" si="0"/>
        <v>-7.7108604812938797E-3</v>
      </c>
      <c r="F36" s="42">
        <v>45537</v>
      </c>
      <c r="G36" s="13">
        <v>5303.4501953125</v>
      </c>
      <c r="I36" s="39">
        <f t="shared" si="1"/>
        <v>7.6307214704613324E-2</v>
      </c>
    </row>
    <row r="37" spans="1:20" x14ac:dyDescent="0.35">
      <c r="A37" s="41">
        <v>45544</v>
      </c>
      <c r="B37" s="71">
        <v>7226.88916015625</v>
      </c>
      <c r="D37" s="39">
        <f t="shared" si="0"/>
        <v>1.8244394852374279E-2</v>
      </c>
      <c r="F37" s="42">
        <v>45544</v>
      </c>
      <c r="G37" s="13">
        <v>5187.0498046875</v>
      </c>
      <c r="I37" s="39">
        <f t="shared" si="1"/>
        <v>-2.1948050106679884E-2</v>
      </c>
    </row>
    <row r="38" spans="1:20" x14ac:dyDescent="0.35">
      <c r="A38" s="41">
        <v>45551</v>
      </c>
      <c r="B38" s="71">
        <v>7458.68798828125</v>
      </c>
      <c r="D38" s="39">
        <f t="shared" si="0"/>
        <v>3.2074496092034721E-2</v>
      </c>
      <c r="F38" s="42">
        <v>45551</v>
      </c>
      <c r="G38" s="13">
        <v>5320.5498046875</v>
      </c>
      <c r="I38" s="39">
        <f t="shared" si="1"/>
        <v>2.5737173350322662E-2</v>
      </c>
    </row>
    <row r="39" spans="1:20" x14ac:dyDescent="0.35">
      <c r="A39" s="41">
        <v>45558</v>
      </c>
      <c r="B39" s="71">
        <v>7826.91943359375</v>
      </c>
      <c r="D39" s="39">
        <f t="shared" si="0"/>
        <v>4.9369466304402199E-2</v>
      </c>
      <c r="F39" s="42">
        <v>45558</v>
      </c>
      <c r="G39" s="13">
        <v>5102.2998046875</v>
      </c>
      <c r="I39" s="39">
        <f t="shared" si="1"/>
        <v>-4.1020196786376806E-2</v>
      </c>
    </row>
    <row r="40" spans="1:20" x14ac:dyDescent="0.35">
      <c r="A40" s="41">
        <v>45565</v>
      </c>
      <c r="B40" s="71">
        <v>7346.93505859375</v>
      </c>
      <c r="D40" s="39">
        <f t="shared" si="0"/>
        <v>-6.1324813558175872E-2</v>
      </c>
      <c r="F40" s="42">
        <v>45565</v>
      </c>
      <c r="G40" s="13">
        <v>4737.5498046875</v>
      </c>
      <c r="I40" s="39">
        <f t="shared" si="1"/>
        <v>-7.1487371178170056E-2</v>
      </c>
    </row>
    <row r="41" spans="1:20" x14ac:dyDescent="0.35">
      <c r="A41" s="41">
        <v>45572</v>
      </c>
      <c r="B41" s="71">
        <v>8227.822265625</v>
      </c>
      <c r="D41" s="39">
        <f t="shared" si="0"/>
        <v>0.11989859717092122</v>
      </c>
      <c r="F41" s="42">
        <v>45572</v>
      </c>
      <c r="G41" s="13">
        <v>4572.7001953125</v>
      </c>
      <c r="I41" s="39">
        <f t="shared" si="1"/>
        <v>-3.4796385509634487E-2</v>
      </c>
    </row>
    <row r="42" spans="1:20" x14ac:dyDescent="0.35">
      <c r="A42" s="41">
        <v>45579</v>
      </c>
      <c r="B42" s="71">
        <v>7761.326171875</v>
      </c>
      <c r="D42" s="39">
        <f t="shared" si="0"/>
        <v>-5.6697395579262011E-2</v>
      </c>
      <c r="F42" s="42">
        <v>45579</v>
      </c>
      <c r="G42" s="13">
        <v>3986.69995117187</v>
      </c>
      <c r="I42" s="39">
        <f t="shared" si="1"/>
        <v>-0.12815190568175494</v>
      </c>
    </row>
    <row r="43" spans="1:20" x14ac:dyDescent="0.35">
      <c r="A43" s="41">
        <v>45586</v>
      </c>
      <c r="B43" s="71">
        <v>7355.078125</v>
      </c>
      <c r="D43" s="39">
        <f t="shared" si="0"/>
        <v>-5.2342607162566557E-2</v>
      </c>
      <c r="F43" s="42">
        <v>45586</v>
      </c>
      <c r="G43" s="13">
        <v>4052.19995117187</v>
      </c>
      <c r="I43" s="39">
        <f t="shared" si="1"/>
        <v>1.6429628716037925E-2</v>
      </c>
    </row>
    <row r="44" spans="1:20" x14ac:dyDescent="0.35">
      <c r="A44" s="41">
        <v>45593</v>
      </c>
      <c r="B44" s="71">
        <v>7142.81201171875</v>
      </c>
      <c r="D44" s="39">
        <f t="shared" si="0"/>
        <v>-2.8859804025704983E-2</v>
      </c>
      <c r="F44" s="42">
        <v>45593</v>
      </c>
      <c r="G44" s="13">
        <v>4001.60009765625</v>
      </c>
      <c r="I44" s="39">
        <f t="shared" si="1"/>
        <v>-1.2487008075943273E-2</v>
      </c>
    </row>
    <row r="45" spans="1:20" x14ac:dyDescent="0.35">
      <c r="A45" s="41">
        <v>45600</v>
      </c>
      <c r="B45" s="71">
        <v>6293.498046875</v>
      </c>
      <c r="D45" s="39">
        <f t="shared" si="0"/>
        <v>-0.1189047063607912</v>
      </c>
      <c r="F45" s="42">
        <v>45600</v>
      </c>
      <c r="G45" s="13">
        <v>3874.5</v>
      </c>
      <c r="I45" s="39">
        <f t="shared" si="1"/>
        <v>-3.1762318711130777E-2</v>
      </c>
    </row>
    <row r="46" spans="1:20" x14ac:dyDescent="0.35">
      <c r="A46" s="41">
        <v>45607</v>
      </c>
      <c r="B46" s="71">
        <v>6457.40576171875</v>
      </c>
      <c r="D46" s="39">
        <f t="shared" si="0"/>
        <v>2.6043976437736038E-2</v>
      </c>
      <c r="F46" s="42">
        <v>45607</v>
      </c>
      <c r="G46" s="13">
        <v>3823.85009765625</v>
      </c>
      <c r="I46" s="39">
        <f t="shared" si="1"/>
        <v>-1.3072629331204011E-2</v>
      </c>
    </row>
    <row r="47" spans="1:20" x14ac:dyDescent="0.35">
      <c r="A47" s="41">
        <v>45614</v>
      </c>
      <c r="B47" s="71">
        <v>6647.04150390625</v>
      </c>
      <c r="D47" s="39">
        <f t="shared" si="0"/>
        <v>2.936717145942902E-2</v>
      </c>
      <c r="F47" s="42">
        <v>45614</v>
      </c>
      <c r="G47" s="13">
        <v>3613.64990234375</v>
      </c>
      <c r="I47" s="39">
        <f t="shared" si="1"/>
        <v>-5.4970825200846063E-2</v>
      </c>
    </row>
    <row r="48" spans="1:20" x14ac:dyDescent="0.35">
      <c r="A48" s="41">
        <v>45621</v>
      </c>
      <c r="B48" s="71">
        <v>6789.51806640625</v>
      </c>
      <c r="D48" s="39">
        <f t="shared" si="0"/>
        <v>2.1434582951869841E-2</v>
      </c>
      <c r="F48" s="42">
        <v>45621</v>
      </c>
      <c r="G48" s="13">
        <v>3709.60009765625</v>
      </c>
      <c r="I48" s="39">
        <f t="shared" si="1"/>
        <v>2.6552155827344714E-2</v>
      </c>
    </row>
    <row r="49" spans="1:9" x14ac:dyDescent="0.35">
      <c r="A49" s="41">
        <v>45628</v>
      </c>
      <c r="B49" s="71">
        <v>6993.89111328125</v>
      </c>
      <c r="D49" s="39">
        <f t="shared" si="0"/>
        <v>3.0101259747170372E-2</v>
      </c>
      <c r="F49" s="42">
        <v>45628</v>
      </c>
      <c r="G49" s="13">
        <v>3805.55004882812</v>
      </c>
      <c r="I49" s="39">
        <f t="shared" si="1"/>
        <v>2.5865308563176814E-2</v>
      </c>
    </row>
    <row r="50" spans="1:9" x14ac:dyDescent="0.35">
      <c r="A50" s="41">
        <v>45635</v>
      </c>
      <c r="B50" s="71">
        <v>6994.19091796875</v>
      </c>
      <c r="D50" s="39">
        <f t="shared" si="0"/>
        <v>4.2866650716177901E-5</v>
      </c>
      <c r="F50" s="42">
        <v>45635</v>
      </c>
      <c r="G50" s="13">
        <v>3652.30004882812</v>
      </c>
      <c r="I50" s="39">
        <f t="shared" si="1"/>
        <v>-4.0270131264517617E-2</v>
      </c>
    </row>
    <row r="51" spans="1:9" x14ac:dyDescent="0.35">
      <c r="A51" s="41">
        <v>45642</v>
      </c>
      <c r="B51" s="71">
        <v>6825.63671875</v>
      </c>
      <c r="D51" s="39">
        <f t="shared" si="0"/>
        <v>-2.4099170468126374E-2</v>
      </c>
      <c r="F51" s="42">
        <v>45642</v>
      </c>
      <c r="G51" s="13">
        <v>3408.30004882812</v>
      </c>
      <c r="I51" s="39">
        <f t="shared" si="1"/>
        <v>-6.6807216476721276E-2</v>
      </c>
    </row>
    <row r="52" spans="1:9" x14ac:dyDescent="0.35">
      <c r="A52" s="41">
        <v>45649</v>
      </c>
      <c r="B52" s="71">
        <v>7112.13818359375</v>
      </c>
      <c r="D52" s="39">
        <f t="shared" si="0"/>
        <v>4.1974320733585424E-2</v>
      </c>
      <c r="F52" s="42">
        <v>45649</v>
      </c>
      <c r="G52" s="13">
        <v>3568.35009765625</v>
      </c>
      <c r="I52" s="39">
        <f t="shared" si="1"/>
        <v>4.6958908117012754E-2</v>
      </c>
    </row>
    <row r="53" spans="1:9" x14ac:dyDescent="0.35">
      <c r="A53" s="41">
        <v>45656</v>
      </c>
      <c r="B53" s="71">
        <v>7301.375</v>
      </c>
      <c r="D53" s="39">
        <f t="shared" si="0"/>
        <v>2.6607584318704802E-2</v>
      </c>
      <c r="F53" s="42">
        <v>45656</v>
      </c>
      <c r="G53" s="13">
        <v>4025.19995117187</v>
      </c>
      <c r="I53" s="39">
        <f t="shared" si="1"/>
        <v>0.12802831589189823</v>
      </c>
    </row>
    <row r="54" spans="1:9" x14ac:dyDescent="0.35">
      <c r="A54" s="41">
        <v>45663</v>
      </c>
      <c r="B54" s="71">
        <v>6578.40087890625</v>
      </c>
      <c r="D54" s="39">
        <f t="shared" si="0"/>
        <v>-9.9018900014552047E-2</v>
      </c>
      <c r="F54" s="42">
        <v>45663</v>
      </c>
      <c r="G54" s="13">
        <v>3686.25</v>
      </c>
      <c r="I54" s="39">
        <f t="shared" si="1"/>
        <v>-8.4206984816540653E-2</v>
      </c>
    </row>
    <row r="55" spans="1:9" x14ac:dyDescent="0.35">
      <c r="A55" s="41">
        <v>45670</v>
      </c>
      <c r="B55" s="71">
        <v>6211.1689453125</v>
      </c>
      <c r="D55" s="39">
        <f t="shared" si="0"/>
        <v>-5.5823890996257952E-2</v>
      </c>
      <c r="F55" s="42">
        <v>45670</v>
      </c>
      <c r="G55" s="13">
        <v>3620.64990234375</v>
      </c>
      <c r="I55" s="39">
        <f t="shared" si="1"/>
        <v>-1.779588949643951E-2</v>
      </c>
    </row>
    <row r="56" spans="1:9" x14ac:dyDescent="0.35">
      <c r="A56" s="41">
        <v>45677</v>
      </c>
      <c r="B56" s="71">
        <v>5485.69775390625</v>
      </c>
      <c r="D56" s="39">
        <f t="shared" si="0"/>
        <v>-0.11680107203552326</v>
      </c>
      <c r="F56" s="42">
        <v>45677</v>
      </c>
      <c r="G56" s="13">
        <v>3579.94995117187</v>
      </c>
      <c r="I56" s="39">
        <f t="shared" si="1"/>
        <v>-1.1241062314678252E-2</v>
      </c>
    </row>
    <row r="57" spans="1:9" x14ac:dyDescent="0.35">
      <c r="A57" s="41">
        <v>45684</v>
      </c>
      <c r="B57" s="71">
        <v>6184.142578125</v>
      </c>
      <c r="D57" s="39">
        <f t="shared" si="0"/>
        <v>0.12732105477765376</v>
      </c>
      <c r="F57" s="42">
        <v>45684</v>
      </c>
      <c r="G57" s="13">
        <v>4023.75</v>
      </c>
      <c r="I57" s="39">
        <f t="shared" si="1"/>
        <v>0.12396822717671108</v>
      </c>
    </row>
    <row r="58" spans="1:9" x14ac:dyDescent="0.35">
      <c r="A58" s="41">
        <v>45691</v>
      </c>
      <c r="B58" s="71">
        <v>5449.6787109375</v>
      </c>
      <c r="D58" s="39">
        <f t="shared" si="0"/>
        <v>-0.11876567493535795</v>
      </c>
      <c r="F58" s="42">
        <v>45691</v>
      </c>
      <c r="G58" s="13">
        <v>3743.5</v>
      </c>
      <c r="I58" s="39">
        <f t="shared" si="1"/>
        <v>-6.964895930413173E-2</v>
      </c>
    </row>
    <row r="59" spans="1:9" x14ac:dyDescent="0.35">
      <c r="A59" s="41">
        <v>45698</v>
      </c>
      <c r="B59" s="71">
        <v>5112.92041015625</v>
      </c>
      <c r="D59" s="39">
        <f t="shared" si="0"/>
        <v>-6.1794156801459943E-2</v>
      </c>
      <c r="F59" s="42">
        <v>45698</v>
      </c>
      <c r="G59" s="13">
        <v>3682.64990234375</v>
      </c>
      <c r="I59" s="39">
        <f t="shared" si="1"/>
        <v>-1.6254867812541707E-2</v>
      </c>
    </row>
    <row r="60" spans="1:9" x14ac:dyDescent="0.35">
      <c r="A60" s="41">
        <v>45705</v>
      </c>
      <c r="B60" s="71">
        <v>5043.83056640625</v>
      </c>
      <c r="D60" s="39">
        <f t="shared" si="0"/>
        <v>-1.3512794686332374E-2</v>
      </c>
      <c r="F60" s="42">
        <v>45705</v>
      </c>
      <c r="G60" s="13">
        <v>3596.69995117187</v>
      </c>
      <c r="I60" s="39">
        <f t="shared" si="1"/>
        <v>-2.333915888045146E-2</v>
      </c>
    </row>
    <row r="61" spans="1:9" x14ac:dyDescent="0.35">
      <c r="A61" s="41">
        <v>45712</v>
      </c>
      <c r="B61" s="71">
        <v>4847.3505859375</v>
      </c>
      <c r="D61" s="39">
        <f t="shared" si="0"/>
        <v>-3.895451639025671E-2</v>
      </c>
      <c r="F61" s="42">
        <v>45712</v>
      </c>
      <c r="G61" s="13">
        <v>3403.94995117187</v>
      </c>
      <c r="I61" s="39">
        <f t="shared" si="1"/>
        <v>-5.3590792286467681E-2</v>
      </c>
    </row>
    <row r="62" spans="1:9" x14ac:dyDescent="0.35">
      <c r="A62" s="41">
        <v>45719</v>
      </c>
      <c r="B62" s="71">
        <v>4995.5224609375</v>
      </c>
      <c r="D62" s="39">
        <f t="shared" si="0"/>
        <v>3.0567600253601723E-2</v>
      </c>
      <c r="F62" s="42">
        <v>45719</v>
      </c>
      <c r="G62" s="13">
        <v>3593.60009765625</v>
      </c>
      <c r="I62" s="39">
        <f t="shared" si="1"/>
        <v>5.5714728243607015E-2</v>
      </c>
    </row>
    <row r="63" spans="1:9" x14ac:dyDescent="0.35">
      <c r="A63" s="41">
        <v>45726</v>
      </c>
      <c r="B63" s="71">
        <v>5018.052734375</v>
      </c>
      <c r="D63" s="39">
        <f t="shared" si="0"/>
        <v>4.5100935114745777E-3</v>
      </c>
      <c r="F63" s="42">
        <v>45726</v>
      </c>
      <c r="G63" s="13">
        <v>3797.10009765625</v>
      </c>
      <c r="I63" s="39">
        <f t="shared" si="1"/>
        <v>5.6628449039926032E-2</v>
      </c>
    </row>
    <row r="64" spans="1:9" x14ac:dyDescent="0.35">
      <c r="A64" s="41">
        <v>45733</v>
      </c>
      <c r="B64" s="71">
        <v>5145.591796875</v>
      </c>
      <c r="D64" s="39">
        <f t="shared" si="0"/>
        <v>2.5416046672113168E-2</v>
      </c>
      <c r="F64" s="42">
        <v>45733</v>
      </c>
      <c r="G64" s="13">
        <v>3892.19995117187</v>
      </c>
      <c r="I64" s="39">
        <f t="shared" si="1"/>
        <v>2.504539018455687E-2</v>
      </c>
    </row>
    <row r="65" spans="1:9" x14ac:dyDescent="0.35">
      <c r="A65" s="41">
        <v>45740</v>
      </c>
      <c r="B65" s="71">
        <v>5320.54052734375</v>
      </c>
      <c r="D65" s="39">
        <f t="shared" si="0"/>
        <v>3.3999729744399687E-2</v>
      </c>
      <c r="F65" s="42">
        <v>45740</v>
      </c>
      <c r="G65" s="13">
        <v>4083.19995117187</v>
      </c>
      <c r="I65" s="39">
        <f t="shared" si="1"/>
        <v>4.9072504597944322E-2</v>
      </c>
    </row>
    <row r="66" spans="1:9" x14ac:dyDescent="0.35">
      <c r="A66" s="41">
        <v>45747</v>
      </c>
      <c r="B66" s="71">
        <v>5558.03515625</v>
      </c>
      <c r="D66" s="39">
        <f t="shared" si="0"/>
        <v>4.4637312259101947E-2</v>
      </c>
      <c r="F66" s="42">
        <v>45747</v>
      </c>
      <c r="G66" s="13">
        <v>4039.89990234375</v>
      </c>
      <c r="I66" s="39">
        <f t="shared" si="1"/>
        <v>-1.0604439984794989E-2</v>
      </c>
    </row>
    <row r="67" spans="1:9" x14ac:dyDescent="0.35">
      <c r="A67" s="41">
        <v>45754</v>
      </c>
      <c r="B67" s="71">
        <v>4776.41162109375</v>
      </c>
      <c r="D67" s="39">
        <f t="shared" si="0"/>
        <v>-0.14062946944070975</v>
      </c>
      <c r="F67" s="42">
        <v>45754</v>
      </c>
      <c r="G67" s="13">
        <v>4131.5</v>
      </c>
      <c r="I67" s="39">
        <f t="shared" si="1"/>
        <v>2.2673853281143908E-2</v>
      </c>
    </row>
    <row r="68" spans="1:9" x14ac:dyDescent="0.35">
      <c r="A68" s="41">
        <v>45761</v>
      </c>
      <c r="B68" s="71">
        <v>5126.05908203125</v>
      </c>
      <c r="D68" s="39">
        <f t="shared" si="0"/>
        <v>7.3202958345000013E-2</v>
      </c>
      <c r="F68" s="42">
        <v>45761</v>
      </c>
      <c r="G68" s="13">
        <v>4357.10009765625</v>
      </c>
      <c r="I68" s="39">
        <f t="shared" si="1"/>
        <v>5.4604888698112086E-2</v>
      </c>
    </row>
    <row r="69" spans="1:9" x14ac:dyDescent="0.35">
      <c r="A69" s="41">
        <v>45768</v>
      </c>
      <c r="B69" s="71">
        <v>5140.54638671875</v>
      </c>
      <c r="D69" s="39">
        <f t="shared" si="0"/>
        <v>2.8262071224038898E-3</v>
      </c>
      <c r="F69" s="42">
        <v>45768</v>
      </c>
      <c r="G69" s="13">
        <v>4375.2001953125</v>
      </c>
      <c r="I69" s="39">
        <f t="shared" si="1"/>
        <v>4.154161541064072E-3</v>
      </c>
    </row>
    <row r="70" spans="1:9" x14ac:dyDescent="0.35">
      <c r="A70" s="41">
        <v>45775</v>
      </c>
      <c r="B70" s="71">
        <v>5149.53857421875</v>
      </c>
      <c r="D70" s="39">
        <f t="shared" si="0"/>
        <v>1.7492668723373406E-3</v>
      </c>
      <c r="F70" s="42">
        <v>45775</v>
      </c>
      <c r="G70" s="13">
        <v>4042.19995117187</v>
      </c>
      <c r="I70" s="39">
        <f t="shared" si="1"/>
        <v>-7.6110858766508471E-2</v>
      </c>
    </row>
    <row r="71" spans="1:9" x14ac:dyDescent="0.35">
      <c r="A71" s="41">
        <v>45782</v>
      </c>
      <c r="B71" s="71">
        <v>5108.57421875</v>
      </c>
      <c r="D71" s="39">
        <f t="shared" si="0"/>
        <v>-7.954956522481238E-3</v>
      </c>
      <c r="F71" s="42">
        <v>45782</v>
      </c>
      <c r="G71" s="13">
        <v>3972.39990234375</v>
      </c>
      <c r="I71" s="39">
        <f t="shared" si="1"/>
        <v>-1.7267836740209819E-2</v>
      </c>
    </row>
    <row r="72" spans="1:9" x14ac:dyDescent="0.35">
      <c r="A72" s="41">
        <v>45789</v>
      </c>
      <c r="B72" s="71">
        <v>5578.16748046875</v>
      </c>
      <c r="D72" s="39">
        <f t="shared" ref="D72:D110" si="2">B72/B71-1</f>
        <v>9.1922568139501948E-2</v>
      </c>
      <c r="F72" s="42">
        <v>45789</v>
      </c>
      <c r="G72" s="13">
        <v>4189.7001953125</v>
      </c>
      <c r="I72" s="39">
        <f t="shared" ref="I72:I110" si="3">G72/G71-1</f>
        <v>5.4702521979355767E-2</v>
      </c>
    </row>
    <row r="73" spans="1:9" x14ac:dyDescent="0.35">
      <c r="A73" s="41">
        <v>45796</v>
      </c>
      <c r="B73" s="71">
        <v>5430.794921875</v>
      </c>
      <c r="D73" s="39">
        <f t="shared" si="2"/>
        <v>-2.6419529193011271E-2</v>
      </c>
      <c r="F73" s="42">
        <v>45796</v>
      </c>
      <c r="G73" s="13">
        <v>4140.7998046875</v>
      </c>
      <c r="I73" s="39">
        <f t="shared" si="3"/>
        <v>-1.1671572748739978E-2</v>
      </c>
    </row>
    <row r="74" spans="1:9" x14ac:dyDescent="0.35">
      <c r="A74" s="41">
        <v>45803</v>
      </c>
      <c r="B74" s="71">
        <v>5638.615234375</v>
      </c>
      <c r="D74" s="39">
        <f t="shared" si="2"/>
        <v>3.8267015324572329E-2</v>
      </c>
      <c r="F74" s="42">
        <v>45803</v>
      </c>
      <c r="G74" s="13">
        <v>4002.10009765625</v>
      </c>
      <c r="I74" s="39">
        <f t="shared" si="3"/>
        <v>-3.349587364118356E-2</v>
      </c>
    </row>
    <row r="75" spans="1:9" x14ac:dyDescent="0.35">
      <c r="A75" s="41">
        <v>45810</v>
      </c>
      <c r="B75" s="71">
        <v>5771.99951171875</v>
      </c>
      <c r="D75" s="39">
        <f t="shared" si="2"/>
        <v>2.3655502601169109E-2</v>
      </c>
      <c r="F75" s="42">
        <v>45810</v>
      </c>
      <c r="G75" s="13">
        <v>4201.60009765625</v>
      </c>
      <c r="I75" s="39">
        <f t="shared" si="3"/>
        <v>4.9848828148209678E-2</v>
      </c>
    </row>
    <row r="76" spans="1:9" x14ac:dyDescent="0.35">
      <c r="A76" s="41">
        <v>45817</v>
      </c>
      <c r="B76" s="71">
        <v>5585.16162109375</v>
      </c>
      <c r="D76" s="39">
        <f t="shared" si="2"/>
        <v>-3.2369699658786777E-2</v>
      </c>
      <c r="F76" s="42">
        <v>45817</v>
      </c>
      <c r="G76" s="13">
        <v>4051.89990234375</v>
      </c>
      <c r="I76" s="39">
        <f t="shared" si="3"/>
        <v>-3.5629329739402471E-2</v>
      </c>
    </row>
    <row r="77" spans="1:9" x14ac:dyDescent="0.35">
      <c r="A77" s="41">
        <v>45824</v>
      </c>
      <c r="B77" s="71">
        <v>5897.5</v>
      </c>
      <c r="D77" s="39">
        <f t="shared" si="2"/>
        <v>5.5922889988827995E-2</v>
      </c>
      <c r="F77" s="42">
        <v>45824</v>
      </c>
      <c r="G77" s="13">
        <v>4300.2998046875</v>
      </c>
      <c r="I77" s="39">
        <f t="shared" si="3"/>
        <v>6.1304550539382108E-2</v>
      </c>
    </row>
    <row r="78" spans="1:9" x14ac:dyDescent="0.35">
      <c r="A78" s="41">
        <v>45831</v>
      </c>
      <c r="B78" s="71">
        <v>6019.5</v>
      </c>
      <c r="D78" s="39">
        <f t="shared" si="2"/>
        <v>2.0686731665960245E-2</v>
      </c>
      <c r="F78" s="42">
        <v>45831</v>
      </c>
      <c r="G78" s="13">
        <v>4313.5</v>
      </c>
      <c r="I78" s="39">
        <f t="shared" si="3"/>
        <v>3.0695988447388967E-3</v>
      </c>
    </row>
    <row r="79" spans="1:9" x14ac:dyDescent="0.35">
      <c r="A79" s="41">
        <v>45838</v>
      </c>
      <c r="B79" s="71">
        <v>5456</v>
      </c>
      <c r="D79" s="39">
        <f t="shared" si="2"/>
        <v>-9.3612426281252548E-2</v>
      </c>
      <c r="F79" s="42">
        <v>45838</v>
      </c>
      <c r="G79" s="13">
        <v>4261.10009765625</v>
      </c>
      <c r="I79" s="39">
        <f t="shared" si="3"/>
        <v>-1.2147885091862709E-2</v>
      </c>
    </row>
    <row r="80" spans="1:9" x14ac:dyDescent="0.35">
      <c r="A80" s="41">
        <v>45845</v>
      </c>
      <c r="B80" s="71">
        <v>5364</v>
      </c>
      <c r="D80" s="39">
        <f t="shared" si="2"/>
        <v>-1.6862170087976525E-2</v>
      </c>
      <c r="F80" s="42">
        <v>45845</v>
      </c>
      <c r="G80" s="13">
        <v>4064.19995117187</v>
      </c>
      <c r="I80" s="39">
        <f t="shared" si="3"/>
        <v>-4.6208758764592739E-2</v>
      </c>
    </row>
    <row r="81" spans="1:9" x14ac:dyDescent="0.35">
      <c r="A81" s="41">
        <v>45852</v>
      </c>
      <c r="B81" s="71">
        <v>5375</v>
      </c>
      <c r="D81" s="39">
        <f t="shared" si="2"/>
        <v>2.0507084265473097E-3</v>
      </c>
      <c r="F81" s="42">
        <v>45852</v>
      </c>
      <c r="G81" s="13">
        <v>4048.60009765625</v>
      </c>
      <c r="I81" s="39">
        <f t="shared" si="3"/>
        <v>-3.8383577833374094E-3</v>
      </c>
    </row>
    <row r="82" spans="1:9" x14ac:dyDescent="0.35">
      <c r="A82" s="41">
        <v>45859</v>
      </c>
      <c r="B82" s="71">
        <v>5043</v>
      </c>
      <c r="D82" s="39">
        <f t="shared" si="2"/>
        <v>-6.1767441860465122E-2</v>
      </c>
      <c r="F82" s="42">
        <v>45859</v>
      </c>
      <c r="G82" s="13">
        <v>3997</v>
      </c>
      <c r="I82" s="39">
        <f t="shared" si="3"/>
        <v>-1.2745170283951057E-2</v>
      </c>
    </row>
    <row r="83" spans="1:9" x14ac:dyDescent="0.35">
      <c r="A83" s="41">
        <v>45866</v>
      </c>
      <c r="B83" s="71">
        <v>5180</v>
      </c>
      <c r="D83" s="39">
        <f t="shared" si="2"/>
        <v>2.7166369224667752E-2</v>
      </c>
      <c r="F83" s="42">
        <v>45866</v>
      </c>
      <c r="G83" s="13">
        <v>4196</v>
      </c>
      <c r="I83" s="39">
        <f t="shared" si="3"/>
        <v>4.978734050537903E-2</v>
      </c>
    </row>
    <row r="84" spans="1:9" x14ac:dyDescent="0.35">
      <c r="A84" s="41">
        <v>45873</v>
      </c>
      <c r="B84" s="71">
        <v>5317</v>
      </c>
      <c r="D84" s="39">
        <f t="shared" si="2"/>
        <v>2.6447876447876384E-2</v>
      </c>
      <c r="F84" s="42">
        <v>45873</v>
      </c>
      <c r="G84" s="13">
        <v>4170.10009765625</v>
      </c>
      <c r="I84" s="39">
        <f t="shared" si="3"/>
        <v>-6.1725220075666831E-3</v>
      </c>
    </row>
    <row r="85" spans="1:9" x14ac:dyDescent="0.35">
      <c r="A85" s="41">
        <v>45880</v>
      </c>
      <c r="B85" s="71">
        <v>5370.5</v>
      </c>
      <c r="D85" s="39">
        <f t="shared" si="2"/>
        <v>1.0062065074289972E-2</v>
      </c>
      <c r="F85" s="42">
        <v>45880</v>
      </c>
      <c r="G85" s="13">
        <v>4358.2001953125</v>
      </c>
      <c r="I85" s="39">
        <f t="shared" si="3"/>
        <v>4.5106854332338298E-2</v>
      </c>
    </row>
    <row r="86" spans="1:9" x14ac:dyDescent="0.35">
      <c r="A86" s="41">
        <v>45887</v>
      </c>
      <c r="B86" s="71">
        <v>5418</v>
      </c>
      <c r="D86" s="39">
        <f t="shared" si="2"/>
        <v>8.8446140955218411E-3</v>
      </c>
      <c r="F86" s="42">
        <v>45887</v>
      </c>
      <c r="G86" s="13">
        <v>4698.7998046875</v>
      </c>
      <c r="I86" s="39">
        <f t="shared" si="3"/>
        <v>7.8151437316104744E-2</v>
      </c>
    </row>
    <row r="87" spans="1:9" x14ac:dyDescent="0.35">
      <c r="A87" s="41">
        <v>45894</v>
      </c>
      <c r="B87" s="71">
        <v>5298</v>
      </c>
      <c r="D87" s="39">
        <f t="shared" si="2"/>
        <v>-2.2148394241417457E-2</v>
      </c>
      <c r="F87" s="42">
        <v>45894</v>
      </c>
      <c r="G87" s="13">
        <v>4755.60009765625</v>
      </c>
      <c r="I87" s="39">
        <f t="shared" si="3"/>
        <v>1.2088255582220375E-2</v>
      </c>
    </row>
    <row r="88" spans="1:9" x14ac:dyDescent="0.35">
      <c r="A88" s="41">
        <v>45901</v>
      </c>
      <c r="B88" s="71">
        <v>5528.5</v>
      </c>
      <c r="D88" s="39">
        <f t="shared" si="2"/>
        <v>4.3506983767459317E-2</v>
      </c>
      <c r="F88" s="42">
        <v>45901</v>
      </c>
      <c r="G88" s="13">
        <v>4793.2998046875</v>
      </c>
      <c r="I88" s="39">
        <f t="shared" si="3"/>
        <v>7.9274342369177742E-3</v>
      </c>
    </row>
    <row r="89" spans="1:9" x14ac:dyDescent="0.35">
      <c r="A89" s="41">
        <v>45908</v>
      </c>
      <c r="B89" s="71">
        <v>5130</v>
      </c>
      <c r="D89" s="39">
        <f t="shared" si="2"/>
        <v>-7.2081034638690422E-2</v>
      </c>
      <c r="F89" s="42">
        <v>45908</v>
      </c>
      <c r="G89" s="13">
        <v>4616.60009765625</v>
      </c>
      <c r="I89" s="39">
        <f t="shared" si="3"/>
        <v>-3.686389632011966E-2</v>
      </c>
    </row>
    <row r="90" spans="1:9" x14ac:dyDescent="0.35">
      <c r="A90" s="41">
        <v>45915</v>
      </c>
      <c r="B90" s="71">
        <v>5080</v>
      </c>
      <c r="D90" s="39">
        <f t="shared" si="2"/>
        <v>-9.74658869395717E-3</v>
      </c>
      <c r="F90" s="42">
        <v>45915</v>
      </c>
      <c r="G90" s="13">
        <v>4775.2998046875</v>
      </c>
      <c r="I90" s="39">
        <f t="shared" si="3"/>
        <v>3.4375883480100011E-2</v>
      </c>
    </row>
    <row r="91" spans="1:9" x14ac:dyDescent="0.35">
      <c r="A91" s="41">
        <v>45922</v>
      </c>
      <c r="B91" s="71">
        <v>4679</v>
      </c>
      <c r="D91" s="39">
        <f t="shared" si="2"/>
        <v>-7.8937007874015697E-2</v>
      </c>
      <c r="F91" s="42">
        <v>45922</v>
      </c>
      <c r="G91" s="13">
        <v>4517.7998046875</v>
      </c>
      <c r="I91" s="39">
        <f t="shared" si="3"/>
        <v>-5.3923315924004234E-2</v>
      </c>
    </row>
    <row r="92" spans="1:9" x14ac:dyDescent="0.35">
      <c r="A92" s="41">
        <v>45929</v>
      </c>
      <c r="B92" s="71">
        <v>4815.7001953125</v>
      </c>
      <c r="D92" s="39">
        <f t="shared" si="2"/>
        <v>2.9215686110814376E-2</v>
      </c>
      <c r="F92" s="42">
        <v>45929</v>
      </c>
      <c r="G92" s="13">
        <v>4418.39990234375</v>
      </c>
      <c r="I92" s="39">
        <f t="shared" si="3"/>
        <v>-2.200183864734695E-2</v>
      </c>
    </row>
    <row r="93" spans="1:9" x14ac:dyDescent="0.35">
      <c r="A93" s="41">
        <v>45936</v>
      </c>
      <c r="B93" s="71">
        <v>4691.10009765625</v>
      </c>
      <c r="D93" s="39">
        <f t="shared" si="2"/>
        <v>-2.5873723986707731E-2</v>
      </c>
      <c r="F93" s="42">
        <v>45936</v>
      </c>
      <c r="G93" s="13">
        <v>4320.39990234375</v>
      </c>
      <c r="I93" s="39">
        <f t="shared" si="3"/>
        <v>-2.2179975141683239E-2</v>
      </c>
    </row>
    <row r="94" spans="1:9" x14ac:dyDescent="0.35">
      <c r="A94" s="41">
        <v>45943</v>
      </c>
      <c r="B94" s="71">
        <v>4814.39990234375</v>
      </c>
      <c r="D94" s="39">
        <f t="shared" si="2"/>
        <v>2.6283771848974791E-2</v>
      </c>
      <c r="F94" s="42">
        <v>45943</v>
      </c>
      <c r="G94" s="13">
        <v>4302.5</v>
      </c>
      <c r="I94" s="39">
        <f t="shared" si="3"/>
        <v>-4.1431123850456109E-3</v>
      </c>
    </row>
    <row r="95" spans="1:9" x14ac:dyDescent="0.35">
      <c r="A95" s="41">
        <v>45950</v>
      </c>
      <c r="B95" s="71">
        <v>4789.60009765625</v>
      </c>
      <c r="D95" s="39">
        <f t="shared" si="2"/>
        <v>-5.1511725636723682E-3</v>
      </c>
      <c r="F95" s="42">
        <v>45950</v>
      </c>
      <c r="G95" s="13">
        <v>4213.89990234375</v>
      </c>
      <c r="I95" s="39">
        <f t="shared" si="3"/>
        <v>-2.0592701372748379E-2</v>
      </c>
    </row>
    <row r="96" spans="1:9" x14ac:dyDescent="0.35">
      <c r="A96" s="41">
        <v>45957</v>
      </c>
      <c r="B96" s="71">
        <v>4694.2998046875</v>
      </c>
      <c r="D96" s="39">
        <f t="shared" si="2"/>
        <v>-1.9897338196436132E-2</v>
      </c>
      <c r="F96" s="42">
        <v>45957</v>
      </c>
      <c r="G96" s="13">
        <v>4153.5</v>
      </c>
      <c r="I96" s="39">
        <f t="shared" si="3"/>
        <v>-1.4333492428274308E-2</v>
      </c>
    </row>
    <row r="97" spans="1:9" x14ac:dyDescent="0.35">
      <c r="A97" s="41">
        <v>45964</v>
      </c>
      <c r="B97" s="71">
        <v>4627.2998046875</v>
      </c>
      <c r="D97" s="39">
        <f t="shared" si="2"/>
        <v>-1.4272629100744116E-2</v>
      </c>
      <c r="F97" s="42">
        <v>45964</v>
      </c>
      <c r="G97" s="13">
        <v>4011</v>
      </c>
      <c r="I97" s="39">
        <f t="shared" si="3"/>
        <v>-3.4308414590104697E-2</v>
      </c>
    </row>
    <row r="98" spans="1:9" x14ac:dyDescent="0.35">
      <c r="A98" s="41">
        <v>45971</v>
      </c>
      <c r="B98" s="71">
        <v>4391.2001953125</v>
      </c>
      <c r="D98" s="39">
        <f t="shared" si="2"/>
        <v>-5.1023192648081417E-2</v>
      </c>
      <c r="F98" s="42">
        <v>45971</v>
      </c>
      <c r="G98" s="13">
        <v>4053.69995117187</v>
      </c>
      <c r="I98" s="39">
        <f t="shared" si="3"/>
        <v>1.0645712084734527E-2</v>
      </c>
    </row>
    <row r="99" spans="1:9" x14ac:dyDescent="0.35">
      <c r="A99" s="41">
        <v>45978</v>
      </c>
      <c r="B99" s="71">
        <v>4359.10009765625</v>
      </c>
      <c r="D99" s="39">
        <f t="shared" si="2"/>
        <v>-7.3100966087850106E-3</v>
      </c>
      <c r="F99" s="42">
        <v>45978</v>
      </c>
      <c r="G99" s="13">
        <v>4038</v>
      </c>
      <c r="I99" s="39">
        <f t="shared" si="3"/>
        <v>-3.8729929104228678E-3</v>
      </c>
    </row>
    <row r="100" spans="1:9" x14ac:dyDescent="0.35">
      <c r="A100" s="41">
        <v>45985</v>
      </c>
      <c r="B100" s="71">
        <v>4250.39990234375</v>
      </c>
      <c r="D100" s="39">
        <f t="shared" si="2"/>
        <v>-2.4936384317245763E-2</v>
      </c>
      <c r="F100" s="42">
        <v>45985</v>
      </c>
      <c r="G100" s="13">
        <v>3996.5</v>
      </c>
      <c r="I100" s="39">
        <f t="shared" si="3"/>
        <v>-1.0277365032194119E-2</v>
      </c>
    </row>
    <row r="101" spans="1:9" x14ac:dyDescent="0.35">
      <c r="A101" s="41">
        <v>45992</v>
      </c>
      <c r="B101" s="71">
        <v>4183.10009765625</v>
      </c>
      <c r="D101" s="39">
        <f t="shared" si="2"/>
        <v>-1.5833758289517608E-2</v>
      </c>
      <c r="F101" s="42">
        <v>45992</v>
      </c>
      <c r="G101" s="13">
        <v>3952.10009765625</v>
      </c>
      <c r="I101" s="39">
        <f t="shared" si="3"/>
        <v>-1.1109696570436589E-2</v>
      </c>
    </row>
    <row r="102" spans="1:9" x14ac:dyDescent="0.35">
      <c r="A102" s="41">
        <v>45999</v>
      </c>
      <c r="B102" s="71">
        <v>4075.39990234375</v>
      </c>
      <c r="D102" s="39">
        <f t="shared" si="2"/>
        <v>-2.5746502067412469E-2</v>
      </c>
      <c r="F102" s="42">
        <v>45999</v>
      </c>
      <c r="G102" s="13">
        <v>3843</v>
      </c>
      <c r="I102" s="39">
        <f t="shared" si="3"/>
        <v>-2.7605600809794906E-2</v>
      </c>
    </row>
    <row r="103" spans="1:9" x14ac:dyDescent="0.35">
      <c r="A103" s="41">
        <v>46006</v>
      </c>
      <c r="B103" s="71">
        <v>4062.199951171875</v>
      </c>
      <c r="D103" s="39">
        <f t="shared" si="2"/>
        <v>-3.2389339667706629E-3</v>
      </c>
      <c r="F103" s="42">
        <v>46006</v>
      </c>
      <c r="G103" s="13">
        <v>3819.5</v>
      </c>
      <c r="I103" s="39">
        <f t="shared" si="3"/>
        <v>-6.115014311735667E-3</v>
      </c>
    </row>
    <row r="104" spans="1:9" x14ac:dyDescent="0.35">
      <c r="A104" s="41">
        <v>46013</v>
      </c>
      <c r="B104" s="71">
        <v>4285.2998046875</v>
      </c>
      <c r="D104" s="39">
        <f t="shared" si="2"/>
        <v>5.492094337977238E-2</v>
      </c>
      <c r="F104" s="42">
        <v>46013</v>
      </c>
      <c r="G104" s="13">
        <v>3787.39990234375</v>
      </c>
      <c r="I104" s="39">
        <f t="shared" si="3"/>
        <v>-8.4042669606624321E-3</v>
      </c>
    </row>
    <row r="105" spans="1:9" x14ac:dyDescent="0.35">
      <c r="A105" s="41">
        <v>46020</v>
      </c>
      <c r="B105" s="71">
        <v>4409.60009765625</v>
      </c>
      <c r="D105" s="39">
        <f t="shared" si="2"/>
        <v>2.900620694794398E-2</v>
      </c>
      <c r="F105" s="42">
        <v>46020</v>
      </c>
      <c r="G105" s="13">
        <v>3719.80004882812</v>
      </c>
      <c r="I105" s="39">
        <f t="shared" si="3"/>
        <v>-1.7848617853582716E-2</v>
      </c>
    </row>
    <row r="106" spans="1:9" x14ac:dyDescent="0.35">
      <c r="A106" s="41">
        <v>46027</v>
      </c>
      <c r="B106" s="71">
        <v>3972.89990234375</v>
      </c>
      <c r="D106" s="39">
        <f t="shared" si="2"/>
        <v>-9.9033968079012658E-2</v>
      </c>
      <c r="F106" s="42">
        <v>46027</v>
      </c>
      <c r="G106" s="13">
        <v>3801.30004882812</v>
      </c>
      <c r="I106" s="39">
        <f t="shared" si="3"/>
        <v>2.1909779808104268E-2</v>
      </c>
    </row>
    <row r="107" spans="1:9" x14ac:dyDescent="0.35">
      <c r="A107" s="41">
        <v>46034</v>
      </c>
      <c r="B107" s="71">
        <v>3899.699951171875</v>
      </c>
      <c r="D107" s="39">
        <f t="shared" si="2"/>
        <v>-1.8424816373725394E-2</v>
      </c>
      <c r="F107" s="42">
        <v>46034</v>
      </c>
      <c r="G107" s="13">
        <v>3775.69995117187</v>
      </c>
      <c r="I107" s="39">
        <f t="shared" si="3"/>
        <v>-6.7345637880235065E-3</v>
      </c>
    </row>
    <row r="108" spans="1:9" x14ac:dyDescent="0.35">
      <c r="A108" s="41">
        <v>46041</v>
      </c>
      <c r="B108" s="71">
        <v>3755.89990234375</v>
      </c>
      <c r="D108" s="39">
        <f t="shared" si="2"/>
        <v>-3.6874644364603637E-2</v>
      </c>
      <c r="F108" s="42">
        <v>46041</v>
      </c>
      <c r="G108" s="13">
        <v>3665.60009765625</v>
      </c>
      <c r="I108" s="39">
        <f t="shared" si="3"/>
        <v>-2.9160117313201228E-2</v>
      </c>
    </row>
    <row r="109" spans="1:9" x14ac:dyDescent="0.35">
      <c r="A109" s="41">
        <v>46048</v>
      </c>
      <c r="B109" s="71">
        <v>3729</v>
      </c>
      <c r="D109" s="39">
        <f t="shared" si="2"/>
        <v>-7.1620392031651603E-3</v>
      </c>
      <c r="F109" s="42">
        <v>46048</v>
      </c>
      <c r="G109" s="13">
        <v>3613.69995117187</v>
      </c>
      <c r="I109" s="39">
        <f t="shared" si="3"/>
        <v>-1.4158703923421556E-2</v>
      </c>
    </row>
    <row r="110" spans="1:9" ht="15" thickBot="1" x14ac:dyDescent="0.4">
      <c r="A110" s="41">
        <v>46055</v>
      </c>
      <c r="B110" s="71">
        <v>4113.7998046875</v>
      </c>
      <c r="D110" s="40">
        <f t="shared" si="2"/>
        <v>0.1031911516995172</v>
      </c>
      <c r="F110" s="42">
        <v>46055</v>
      </c>
      <c r="G110" s="13">
        <v>3883.89990234375</v>
      </c>
      <c r="I110" s="40">
        <f t="shared" si="3"/>
        <v>7.477099782018648E-2</v>
      </c>
    </row>
  </sheetData>
  <mergeCells count="3">
    <mergeCell ref="K3:L3"/>
    <mergeCell ref="C5:D5"/>
    <mergeCell ref="H5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58C4-A4A4-4138-A093-D410D91FBA4C}">
  <dimension ref="A1:V110"/>
  <sheetViews>
    <sheetView showGridLines="0" topLeftCell="Y1" zoomScaleNormal="400" workbookViewId="0">
      <selection activeCell="P6" sqref="P6"/>
    </sheetView>
  </sheetViews>
  <sheetFormatPr defaultRowHeight="14.5" x14ac:dyDescent="0.35"/>
  <cols>
    <col min="1" max="1" width="10.453125" bestFit="1" customWidth="1"/>
    <col min="2" max="2" width="8.36328125" bestFit="1" customWidth="1"/>
    <col min="3" max="3" width="12.453125" bestFit="1" customWidth="1"/>
    <col min="6" max="6" width="10.453125" bestFit="1" customWidth="1"/>
    <col min="8" max="8" width="12.453125" bestFit="1" customWidth="1"/>
    <col min="11" max="11" width="18.08984375" bestFit="1" customWidth="1"/>
    <col min="13" max="15" width="8.7265625" style="36"/>
    <col min="16" max="16" width="13.54296875" style="36" bestFit="1" customWidth="1"/>
    <col min="17" max="16384" width="8.7265625" style="36"/>
  </cols>
  <sheetData>
    <row r="1" spans="1:20" customFormat="1" x14ac:dyDescent="0.35"/>
    <row r="2" spans="1:20" customFormat="1" x14ac:dyDescent="0.35">
      <c r="O2" s="54" t="s">
        <v>73</v>
      </c>
      <c r="P2" s="55"/>
    </row>
    <row r="3" spans="1:20" customFormat="1" x14ac:dyDescent="0.35">
      <c r="B3" s="73" t="s">
        <v>101</v>
      </c>
      <c r="C3" s="73"/>
      <c r="G3" s="47" t="s">
        <v>41</v>
      </c>
      <c r="K3" s="72" t="s">
        <v>75</v>
      </c>
      <c r="L3" s="72"/>
      <c r="O3" s="57" t="s">
        <v>74</v>
      </c>
      <c r="P3" s="56"/>
    </row>
    <row r="4" spans="1:20" customFormat="1" x14ac:dyDescent="0.35">
      <c r="O4" s="58" t="s">
        <v>44</v>
      </c>
      <c r="P4" s="59">
        <f>SLOPE(D7:D110,I7:I110)</f>
        <v>3.3389176451748773E-3</v>
      </c>
    </row>
    <row r="5" spans="1:20" customFormat="1" ht="15" thickBot="1" x14ac:dyDescent="0.4">
      <c r="A5" s="49" t="s">
        <v>42</v>
      </c>
      <c r="B5" s="50" t="s">
        <v>43</v>
      </c>
      <c r="C5" s="50" t="s">
        <v>69</v>
      </c>
      <c r="D5" s="50"/>
      <c r="E5" s="49"/>
      <c r="F5" s="49" t="s">
        <v>42</v>
      </c>
      <c r="G5" s="49" t="s">
        <v>43</v>
      </c>
      <c r="H5" s="50" t="s">
        <v>69</v>
      </c>
      <c r="I5" s="50"/>
      <c r="K5" t="s">
        <v>78</v>
      </c>
      <c r="L5">
        <f>P5</f>
        <v>3.3389176451748769E-3</v>
      </c>
      <c r="O5" s="60" t="s">
        <v>72</v>
      </c>
      <c r="P5" s="61">
        <f>_xlfn.COVARIANCE.S(D6:D110,I6:I110)/_xlfn.VAR.S(I6:I110)</f>
        <v>3.3389176451748769E-3</v>
      </c>
    </row>
    <row r="6" spans="1:20" customFormat="1" ht="15.5" thickTop="1" thickBot="1" x14ac:dyDescent="0.4">
      <c r="A6" s="41">
        <v>45327</v>
      </c>
      <c r="B6" s="71">
        <v>947.68273925781205</v>
      </c>
      <c r="F6" s="42">
        <v>45327</v>
      </c>
      <c r="G6" s="13">
        <v>3719.19995117187</v>
      </c>
      <c r="K6" t="s">
        <v>77</v>
      </c>
      <c r="L6" s="23">
        <v>0.75</v>
      </c>
      <c r="O6" s="62" t="s">
        <v>45</v>
      </c>
      <c r="P6" s="63">
        <f>M30</f>
        <v>3.3389176451748916E-3</v>
      </c>
    </row>
    <row r="7" spans="1:20" customFormat="1" x14ac:dyDescent="0.35">
      <c r="A7" s="41">
        <v>45334</v>
      </c>
      <c r="B7" s="71">
        <v>955.14794921875</v>
      </c>
      <c r="D7" s="38">
        <f>B7/B6-1</f>
        <v>7.8773303044270548E-3</v>
      </c>
      <c r="F7" s="42">
        <v>45334</v>
      </c>
      <c r="G7" s="13">
        <v>3693.30004882812</v>
      </c>
      <c r="I7" s="38">
        <f>G7/G6-1</f>
        <v>-6.9638370304853092E-3</v>
      </c>
    </row>
    <row r="8" spans="1:20" customFormat="1" x14ac:dyDescent="0.35">
      <c r="A8" s="41">
        <v>45341</v>
      </c>
      <c r="B8" s="71">
        <v>967.72088623046875</v>
      </c>
      <c r="D8" s="39">
        <f t="shared" ref="D8:D71" si="0">B8/B7-1</f>
        <v>1.3163339796732565E-2</v>
      </c>
      <c r="F8" s="42">
        <v>45341</v>
      </c>
      <c r="G8" s="13">
        <v>3840.55004882812</v>
      </c>
      <c r="I8" s="39">
        <f t="shared" ref="I8:I71" si="1">G8/G7-1</f>
        <v>3.98694928798764E-2</v>
      </c>
      <c r="K8" t="s">
        <v>79</v>
      </c>
      <c r="L8">
        <v>1</v>
      </c>
    </row>
    <row r="9" spans="1:20" customFormat="1" x14ac:dyDescent="0.35">
      <c r="A9" s="41">
        <v>45348</v>
      </c>
      <c r="B9" s="71">
        <v>1006.127197265625</v>
      </c>
      <c r="D9" s="39">
        <f t="shared" si="0"/>
        <v>3.9687384639138124E-2</v>
      </c>
      <c r="F9" s="42">
        <v>45348</v>
      </c>
      <c r="G9" s="13">
        <v>3884.14990234375</v>
      </c>
      <c r="I9" s="39">
        <f t="shared" si="1"/>
        <v>1.1352502365887363E-2</v>
      </c>
      <c r="K9" t="s">
        <v>76</v>
      </c>
      <c r="L9" s="8">
        <v>0.25</v>
      </c>
    </row>
    <row r="10" spans="1:20" customFormat="1" x14ac:dyDescent="0.35">
      <c r="A10" s="41">
        <v>45355</v>
      </c>
      <c r="B10" s="71">
        <v>948.2230224609375</v>
      </c>
      <c r="D10" s="39">
        <f t="shared" si="0"/>
        <v>-5.7551545134705617E-2</v>
      </c>
      <c r="F10" s="42">
        <v>45355</v>
      </c>
      <c r="G10" s="13">
        <v>3925.94995117187</v>
      </c>
      <c r="I10" s="39">
        <f t="shared" si="1"/>
        <v>1.0761698152508714E-2</v>
      </c>
    </row>
    <row r="11" spans="1:20" x14ac:dyDescent="0.35">
      <c r="A11" s="41">
        <v>45362</v>
      </c>
      <c r="B11" s="71">
        <v>908.98187255859375</v>
      </c>
      <c r="D11" s="39">
        <f t="shared" si="0"/>
        <v>-4.1383882243757997E-2</v>
      </c>
      <c r="F11" s="42">
        <v>45362</v>
      </c>
      <c r="G11" s="13">
        <v>3932.10009765625</v>
      </c>
      <c r="I11" s="39">
        <f t="shared" si="1"/>
        <v>1.5665371593807098E-3</v>
      </c>
      <c r="J11" s="36"/>
      <c r="K11" s="52" t="s">
        <v>80</v>
      </c>
      <c r="L11" s="53">
        <f>L6*L5+L9*L8</f>
        <v>0.25250418823388115</v>
      </c>
    </row>
    <row r="12" spans="1:20" x14ac:dyDescent="0.35">
      <c r="A12" s="41">
        <v>45369</v>
      </c>
      <c r="B12" s="71">
        <v>916.447021484375</v>
      </c>
      <c r="D12" s="39">
        <f t="shared" si="0"/>
        <v>8.2126488449856261E-3</v>
      </c>
      <c r="F12" s="42">
        <v>45369</v>
      </c>
      <c r="G12" s="13">
        <v>4297.60009765625</v>
      </c>
      <c r="H12" s="37"/>
      <c r="I12" s="39">
        <f t="shared" si="1"/>
        <v>9.2952872745497572E-2</v>
      </c>
      <c r="J12" s="36"/>
      <c r="K12" s="36"/>
    </row>
    <row r="13" spans="1:20" x14ac:dyDescent="0.35">
      <c r="A13" s="41">
        <v>45376</v>
      </c>
      <c r="B13" s="71">
        <v>910.062255859375</v>
      </c>
      <c r="D13" s="39">
        <f t="shared" si="0"/>
        <v>-6.9668682153154471E-3</v>
      </c>
      <c r="F13" s="42">
        <v>45376</v>
      </c>
      <c r="G13" s="13">
        <v>4525.60009765625</v>
      </c>
      <c r="H13" s="36"/>
      <c r="I13" s="39">
        <f t="shared" si="1"/>
        <v>5.3052865510763159E-2</v>
      </c>
      <c r="J13" s="36"/>
      <c r="K13" s="36"/>
      <c r="L13" t="s">
        <v>46</v>
      </c>
      <c r="M13"/>
      <c r="N13"/>
      <c r="O13"/>
      <c r="P13"/>
      <c r="Q13"/>
      <c r="R13"/>
      <c r="S13"/>
      <c r="T13"/>
    </row>
    <row r="14" spans="1:20" ht="15" thickBot="1" x14ac:dyDescent="0.4">
      <c r="A14" s="41">
        <v>45383</v>
      </c>
      <c r="B14" s="71">
        <v>893.51129150390625</v>
      </c>
      <c r="D14" s="39">
        <f t="shared" si="0"/>
        <v>-1.8186628715680109E-2</v>
      </c>
      <c r="F14" s="42">
        <v>45383</v>
      </c>
      <c r="G14" s="13">
        <v>4619.25</v>
      </c>
      <c r="H14" s="36"/>
      <c r="I14" s="39">
        <f t="shared" si="1"/>
        <v>2.0693366696772353E-2</v>
      </c>
      <c r="J14" s="36"/>
      <c r="K14" s="36"/>
      <c r="M14"/>
      <c r="N14"/>
      <c r="O14"/>
      <c r="P14"/>
      <c r="Q14"/>
      <c r="R14"/>
      <c r="S14"/>
      <c r="T14"/>
    </row>
    <row r="15" spans="1:20" x14ac:dyDescent="0.35">
      <c r="A15" s="41">
        <v>45390</v>
      </c>
      <c r="B15" s="71">
        <v>898.1278076171875</v>
      </c>
      <c r="D15" s="39">
        <f t="shared" si="0"/>
        <v>5.1667126729992852E-3</v>
      </c>
      <c r="F15" s="42">
        <v>45390</v>
      </c>
      <c r="G15" s="13">
        <v>4765.0498046875</v>
      </c>
      <c r="H15" s="36"/>
      <c r="I15" s="39">
        <f t="shared" si="1"/>
        <v>3.1563523231585178E-2</v>
      </c>
      <c r="J15" s="36"/>
      <c r="K15" s="36"/>
      <c r="L15" s="46" t="s">
        <v>47</v>
      </c>
      <c r="M15" s="46"/>
      <c r="N15"/>
      <c r="O15"/>
      <c r="P15"/>
      <c r="Q15"/>
      <c r="R15"/>
      <c r="S15"/>
      <c r="T15"/>
    </row>
    <row r="16" spans="1:20" x14ac:dyDescent="0.35">
      <c r="A16" s="41">
        <v>45397</v>
      </c>
      <c r="B16" s="71">
        <v>902.00775146484375</v>
      </c>
      <c r="D16" s="39">
        <f t="shared" si="0"/>
        <v>4.3200353165213645E-3</v>
      </c>
      <c r="F16" s="42">
        <v>45397</v>
      </c>
      <c r="G16" s="13">
        <v>4696</v>
      </c>
      <c r="H16" s="36"/>
      <c r="I16" s="39">
        <f t="shared" si="1"/>
        <v>-1.4490888346974651E-2</v>
      </c>
      <c r="J16" s="36"/>
      <c r="K16" s="36"/>
      <c r="L16" s="43" t="s">
        <v>48</v>
      </c>
      <c r="M16" s="43">
        <v>3.7010783754079079E-3</v>
      </c>
      <c r="N16"/>
      <c r="O16"/>
      <c r="P16"/>
      <c r="Q16"/>
      <c r="R16"/>
      <c r="S16"/>
      <c r="T16"/>
    </row>
    <row r="17" spans="1:22" x14ac:dyDescent="0.35">
      <c r="A17" s="41">
        <v>45404</v>
      </c>
      <c r="B17" s="71">
        <v>920.916259765625</v>
      </c>
      <c r="D17" s="39">
        <f t="shared" si="0"/>
        <v>2.0962689367219012E-2</v>
      </c>
      <c r="F17" s="42">
        <v>45404</v>
      </c>
      <c r="G17" s="13">
        <v>4553.14990234375</v>
      </c>
      <c r="H17" s="36"/>
      <c r="I17" s="39">
        <f t="shared" si="1"/>
        <v>-3.0419526758145188E-2</v>
      </c>
      <c r="J17" s="36"/>
      <c r="K17" s="36"/>
      <c r="L17" s="43" t="s">
        <v>49</v>
      </c>
      <c r="M17" s="43">
        <v>1.369798114091204E-5</v>
      </c>
      <c r="N17"/>
      <c r="O17"/>
      <c r="P17"/>
      <c r="Q17"/>
      <c r="R17"/>
      <c r="S17"/>
      <c r="T17"/>
    </row>
    <row r="18" spans="1:22" x14ac:dyDescent="0.35">
      <c r="A18" s="41">
        <v>45411</v>
      </c>
      <c r="B18" s="71">
        <v>916.0540771484375</v>
      </c>
      <c r="D18" s="39">
        <f t="shared" si="0"/>
        <v>-5.2797228473574487E-3</v>
      </c>
      <c r="F18" s="42">
        <v>45411</v>
      </c>
      <c r="G18" s="13">
        <v>4612.35009765625</v>
      </c>
      <c r="H18" s="36"/>
      <c r="I18" s="39">
        <f t="shared" si="1"/>
        <v>1.3002030809929233E-2</v>
      </c>
      <c r="J18" s="36"/>
      <c r="K18" s="36"/>
      <c r="L18" s="43" t="s">
        <v>50</v>
      </c>
      <c r="M18" s="43">
        <v>-9.7900892935537838E-3</v>
      </c>
      <c r="N18"/>
      <c r="O18"/>
      <c r="P18"/>
      <c r="Q18"/>
      <c r="R18"/>
      <c r="S18"/>
      <c r="T18"/>
    </row>
    <row r="19" spans="1:22" x14ac:dyDescent="0.35">
      <c r="A19" s="41">
        <v>45418</v>
      </c>
      <c r="B19" s="71">
        <v>966.10009765625</v>
      </c>
      <c r="D19" s="39">
        <f t="shared" si="0"/>
        <v>5.4632168292509053E-2</v>
      </c>
      <c r="F19" s="42">
        <v>45418</v>
      </c>
      <c r="G19" s="13">
        <v>4796.7998046875</v>
      </c>
      <c r="H19" s="36"/>
      <c r="I19" s="39">
        <f t="shared" si="1"/>
        <v>3.9990396029342401E-2</v>
      </c>
      <c r="J19" s="37"/>
      <c r="K19" s="37"/>
      <c r="L19" s="43" t="s">
        <v>51</v>
      </c>
      <c r="M19" s="43">
        <v>3.9358504321545446E-2</v>
      </c>
      <c r="N19"/>
      <c r="O19"/>
      <c r="P19"/>
      <c r="Q19"/>
      <c r="R19"/>
      <c r="S19"/>
      <c r="T19"/>
    </row>
    <row r="20" spans="1:22" ht="15" thickBot="1" x14ac:dyDescent="0.4">
      <c r="A20" s="41">
        <v>45425</v>
      </c>
      <c r="B20" s="71">
        <v>1025.4775390625</v>
      </c>
      <c r="D20" s="39">
        <f t="shared" si="0"/>
        <v>6.146096201656448E-2</v>
      </c>
      <c r="F20" s="42">
        <v>45425</v>
      </c>
      <c r="G20" s="13">
        <v>4670.64990234375</v>
      </c>
      <c r="H20" s="37"/>
      <c r="I20" s="39">
        <f t="shared" si="1"/>
        <v>-2.6298763233869926E-2</v>
      </c>
      <c r="J20" s="36"/>
      <c r="K20" s="36"/>
      <c r="L20" s="44" t="s">
        <v>52</v>
      </c>
      <c r="M20" s="44">
        <v>104</v>
      </c>
      <c r="N20"/>
      <c r="O20"/>
      <c r="P20"/>
      <c r="Q20"/>
      <c r="R20"/>
      <c r="S20"/>
      <c r="T20"/>
    </row>
    <row r="21" spans="1:22" x14ac:dyDescent="0.35">
      <c r="A21" s="41">
        <v>45432</v>
      </c>
      <c r="B21" s="71">
        <v>1005.046691894531</v>
      </c>
      <c r="D21" s="39">
        <f t="shared" si="0"/>
        <v>-1.9923251743423909E-2</v>
      </c>
      <c r="F21" s="42">
        <v>45432</v>
      </c>
      <c r="G21" s="13">
        <v>4684.5</v>
      </c>
      <c r="H21" s="36"/>
      <c r="I21" s="39">
        <f t="shared" si="1"/>
        <v>2.9653469957788836E-3</v>
      </c>
      <c r="J21" s="36"/>
      <c r="K21" s="36"/>
      <c r="M21"/>
      <c r="N21"/>
      <c r="O21"/>
      <c r="P21"/>
      <c r="Q21"/>
      <c r="R21"/>
      <c r="S21"/>
      <c r="T21"/>
    </row>
    <row r="22" spans="1:22" ht="15" thickBot="1" x14ac:dyDescent="0.4">
      <c r="A22" s="41">
        <v>45439</v>
      </c>
      <c r="B22" s="71">
        <v>1024.740966796875</v>
      </c>
      <c r="D22" s="39">
        <f t="shared" si="0"/>
        <v>1.9595383041577819E-2</v>
      </c>
      <c r="F22" s="42">
        <v>45439</v>
      </c>
      <c r="G22" s="13">
        <v>4302.14990234375</v>
      </c>
      <c r="H22" s="36"/>
      <c r="I22" s="39">
        <f t="shared" si="1"/>
        <v>-8.1620257798324269E-2</v>
      </c>
      <c r="J22" s="36"/>
      <c r="K22" s="36"/>
      <c r="L22" t="s">
        <v>53</v>
      </c>
      <c r="M22"/>
      <c r="N22"/>
      <c r="O22"/>
      <c r="P22"/>
      <c r="Q22"/>
      <c r="R22"/>
      <c r="S22"/>
      <c r="T22"/>
    </row>
    <row r="23" spans="1:22" x14ac:dyDescent="0.35">
      <c r="A23" s="41">
        <v>45446</v>
      </c>
      <c r="B23" s="71">
        <v>1094.726806640625</v>
      </c>
      <c r="D23" s="39">
        <f t="shared" si="0"/>
        <v>6.8296127617998081E-2</v>
      </c>
      <c r="F23" s="42">
        <v>45446</v>
      </c>
      <c r="G23" s="13">
        <v>4747.25</v>
      </c>
      <c r="H23" s="36"/>
      <c r="I23" s="39">
        <f t="shared" si="1"/>
        <v>0.10345992300588258</v>
      </c>
      <c r="J23" s="36"/>
      <c r="K23" s="36"/>
      <c r="L23" s="45"/>
      <c r="M23" s="45" t="s">
        <v>54</v>
      </c>
      <c r="N23" s="45" t="s">
        <v>55</v>
      </c>
      <c r="O23" s="45" t="s">
        <v>56</v>
      </c>
      <c r="P23" s="45" t="s">
        <v>57</v>
      </c>
      <c r="Q23" s="45" t="s">
        <v>58</v>
      </c>
      <c r="R23"/>
      <c r="S23"/>
      <c r="T23"/>
    </row>
    <row r="24" spans="1:22" x14ac:dyDescent="0.35">
      <c r="A24" s="41">
        <v>45453</v>
      </c>
      <c r="B24" s="71">
        <v>1127.288818359375</v>
      </c>
      <c r="D24" s="39">
        <f t="shared" si="0"/>
        <v>2.9744417987418004E-2</v>
      </c>
      <c r="F24" s="42">
        <v>45453</v>
      </c>
      <c r="G24" s="13">
        <v>4739.9501953125</v>
      </c>
      <c r="H24" s="36"/>
      <c r="I24" s="39">
        <f t="shared" si="1"/>
        <v>-1.5376912291326095E-3</v>
      </c>
      <c r="J24" s="37"/>
      <c r="K24" s="37"/>
      <c r="L24" s="43" t="s">
        <v>59</v>
      </c>
      <c r="M24" s="43">
        <v>1</v>
      </c>
      <c r="N24" s="43">
        <v>2.1644116220131959E-6</v>
      </c>
      <c r="O24" s="43">
        <v>2.1644116220131959E-6</v>
      </c>
      <c r="P24" s="43">
        <v>1.3972132153733021E-3</v>
      </c>
      <c r="Q24" s="43">
        <v>0.97025562426821099</v>
      </c>
      <c r="R24"/>
      <c r="S24"/>
      <c r="T24"/>
    </row>
    <row r="25" spans="1:22" x14ac:dyDescent="0.35">
      <c r="A25" s="41">
        <v>45460</v>
      </c>
      <c r="B25" s="71">
        <v>1100.276611328125</v>
      </c>
      <c r="D25" s="39">
        <f t="shared" si="0"/>
        <v>-2.3962099677847237E-2</v>
      </c>
      <c r="F25" s="42">
        <v>45460</v>
      </c>
      <c r="G25" s="13">
        <v>4804.85009765625</v>
      </c>
      <c r="H25" s="37"/>
      <c r="I25" s="39">
        <f t="shared" si="1"/>
        <v>1.3692106387094949E-2</v>
      </c>
      <c r="J25" s="36"/>
      <c r="K25" s="36"/>
      <c r="L25" s="43" t="s">
        <v>60</v>
      </c>
      <c r="M25" s="43">
        <v>102</v>
      </c>
      <c r="N25" s="43">
        <v>0.15800736996776937</v>
      </c>
      <c r="O25" s="43">
        <v>1.5490918624291115E-3</v>
      </c>
      <c r="P25" s="43"/>
      <c r="Q25" s="43"/>
      <c r="R25"/>
      <c r="S25"/>
      <c r="T25"/>
    </row>
    <row r="26" spans="1:22" ht="15" thickBot="1" x14ac:dyDescent="0.4">
      <c r="A26" s="41">
        <v>45467</v>
      </c>
      <c r="B26" s="71">
        <v>1032.991943359375</v>
      </c>
      <c r="D26" s="39">
        <f t="shared" si="0"/>
        <v>-6.11525022671634E-2</v>
      </c>
      <c r="F26" s="42">
        <v>45467</v>
      </c>
      <c r="G26" s="13">
        <v>4716.75</v>
      </c>
      <c r="H26" s="36"/>
      <c r="I26" s="39">
        <f t="shared" si="1"/>
        <v>-1.8335659982238406E-2</v>
      </c>
      <c r="J26" s="36"/>
      <c r="K26" s="36"/>
      <c r="L26" s="44" t="s">
        <v>61</v>
      </c>
      <c r="M26" s="44">
        <v>103</v>
      </c>
      <c r="N26" s="44">
        <v>0.15800953437939139</v>
      </c>
      <c r="O26" s="44"/>
      <c r="P26" s="44"/>
      <c r="Q26" s="44"/>
      <c r="R26"/>
      <c r="S26"/>
      <c r="T26"/>
      <c r="U26" s="74"/>
      <c r="V26" s="74"/>
    </row>
    <row r="27" spans="1:22" ht="15" thickBot="1" x14ac:dyDescent="0.4">
      <c r="A27" s="41">
        <v>45474</v>
      </c>
      <c r="B27" s="71">
        <v>1075.229125976562</v>
      </c>
      <c r="D27" s="39">
        <f t="shared" si="0"/>
        <v>4.0888201392770052E-2</v>
      </c>
      <c r="F27" s="42">
        <v>45474</v>
      </c>
      <c r="G27" s="13">
        <v>4853.10009765625</v>
      </c>
      <c r="H27" s="36"/>
      <c r="I27" s="39">
        <f t="shared" si="1"/>
        <v>2.8907637177346679E-2</v>
      </c>
      <c r="J27" s="36"/>
      <c r="K27" s="36"/>
      <c r="M27"/>
      <c r="N27"/>
      <c r="O27"/>
      <c r="P27"/>
      <c r="Q27"/>
      <c r="R27"/>
      <c r="S27"/>
      <c r="T27"/>
      <c r="U27" s="43"/>
      <c r="V27" s="43"/>
    </row>
    <row r="28" spans="1:22" x14ac:dyDescent="0.35">
      <c r="A28" s="41">
        <v>45481</v>
      </c>
      <c r="B28" s="71">
        <v>1007.895202636719</v>
      </c>
      <c r="D28" s="39">
        <f t="shared" si="0"/>
        <v>-6.262286029378894E-2</v>
      </c>
      <c r="F28" s="42">
        <v>45481</v>
      </c>
      <c r="G28" s="13">
        <v>4943.64990234375</v>
      </c>
      <c r="H28" s="36"/>
      <c r="I28" s="39">
        <f t="shared" si="1"/>
        <v>1.8658136627190069E-2</v>
      </c>
      <c r="J28" s="36"/>
      <c r="K28" s="36"/>
      <c r="L28" s="45"/>
      <c r="M28" s="45" t="s">
        <v>62</v>
      </c>
      <c r="N28" s="45" t="s">
        <v>51</v>
      </c>
      <c r="O28" s="45" t="s">
        <v>63</v>
      </c>
      <c r="P28" s="45" t="s">
        <v>64</v>
      </c>
      <c r="Q28" s="45" t="s">
        <v>65</v>
      </c>
      <c r="R28" s="45" t="s">
        <v>66</v>
      </c>
      <c r="S28" s="45" t="s">
        <v>70</v>
      </c>
      <c r="T28" s="45" t="s">
        <v>71</v>
      </c>
      <c r="U28" s="43"/>
      <c r="V28" s="43"/>
    </row>
    <row r="29" spans="1:22" x14ac:dyDescent="0.35">
      <c r="A29" s="41">
        <v>45488</v>
      </c>
      <c r="B29" s="71">
        <v>1017.914306640625</v>
      </c>
      <c r="D29" s="39">
        <f t="shared" si="0"/>
        <v>9.9406207884464859E-3</v>
      </c>
      <c r="F29" s="42">
        <v>45488</v>
      </c>
      <c r="G29" s="13">
        <v>5010.7001953125</v>
      </c>
      <c r="H29" s="36"/>
      <c r="I29" s="39">
        <f t="shared" si="1"/>
        <v>1.3562912886885936E-2</v>
      </c>
      <c r="L29" s="43" t="s">
        <v>67</v>
      </c>
      <c r="M29" s="43">
        <v>-5.9418919788763579E-3</v>
      </c>
      <c r="N29" s="43">
        <v>3.8612844603183516E-3</v>
      </c>
      <c r="O29" s="43">
        <v>-1.5388381871214083</v>
      </c>
      <c r="P29" s="43">
        <v>0.12694034838827359</v>
      </c>
      <c r="Q29" s="43">
        <v>-1.3600731397880341E-2</v>
      </c>
      <c r="R29" s="43">
        <v>1.7169474401276252E-3</v>
      </c>
      <c r="S29" s="43">
        <v>-1.3600731397880341E-2</v>
      </c>
      <c r="T29" s="43">
        <v>1.7169474401276252E-3</v>
      </c>
    </row>
    <row r="30" spans="1:22" ht="15" thickBot="1" x14ac:dyDescent="0.4">
      <c r="A30" s="41">
        <v>45495</v>
      </c>
      <c r="B30" s="71">
        <v>1063.58935546875</v>
      </c>
      <c r="D30" s="39">
        <f t="shared" si="0"/>
        <v>4.4871212173905217E-2</v>
      </c>
      <c r="F30" s="42">
        <v>45495</v>
      </c>
      <c r="G30" s="13">
        <v>5071.60009765625</v>
      </c>
      <c r="I30" s="39">
        <f t="shared" si="1"/>
        <v>1.2153970497121636E-2</v>
      </c>
      <c r="L30" s="44" t="s">
        <v>68</v>
      </c>
      <c r="M30" s="44">
        <v>3.3389176451748916E-3</v>
      </c>
      <c r="N30" s="44">
        <v>8.9325275617337274E-2</v>
      </c>
      <c r="O30" s="44">
        <v>3.7379315340470509E-2</v>
      </c>
      <c r="P30" s="44">
        <v>0.97025562426875323</v>
      </c>
      <c r="Q30" s="44">
        <v>-0.17383734301163614</v>
      </c>
      <c r="R30" s="44">
        <v>0.18051517830198591</v>
      </c>
      <c r="S30" s="44">
        <v>-0.17383734301163614</v>
      </c>
      <c r="T30" s="44">
        <v>0.18051517830198591</v>
      </c>
    </row>
    <row r="31" spans="1:22" x14ac:dyDescent="0.35">
      <c r="A31" s="41">
        <v>45502</v>
      </c>
      <c r="B31" s="71">
        <v>1118.055419921875</v>
      </c>
      <c r="D31" s="39">
        <f t="shared" si="0"/>
        <v>5.1209674272379768E-2</v>
      </c>
      <c r="F31" s="42">
        <v>45502</v>
      </c>
      <c r="G31" s="13">
        <v>4909.7001953125</v>
      </c>
      <c r="I31" s="39">
        <f t="shared" si="1"/>
        <v>-3.1922844709023734E-2</v>
      </c>
      <c r="M31"/>
      <c r="N31"/>
      <c r="O31"/>
      <c r="P31"/>
      <c r="Q31"/>
      <c r="R31"/>
      <c r="S31"/>
      <c r="T31"/>
    </row>
    <row r="32" spans="1:22" x14ac:dyDescent="0.35">
      <c r="A32" s="41">
        <v>45509</v>
      </c>
      <c r="B32" s="71">
        <v>1101.504516601562</v>
      </c>
      <c r="D32" s="39">
        <f t="shared" si="0"/>
        <v>-1.480329420653359E-2</v>
      </c>
      <c r="F32" s="42">
        <v>45509</v>
      </c>
      <c r="G32" s="13">
        <v>4989.9501953125</v>
      </c>
      <c r="I32" s="39">
        <f t="shared" si="1"/>
        <v>1.6345193557158133E-2</v>
      </c>
      <c r="M32"/>
      <c r="N32"/>
      <c r="O32"/>
      <c r="P32"/>
      <c r="Q32"/>
      <c r="R32"/>
      <c r="S32"/>
      <c r="T32"/>
    </row>
    <row r="33" spans="1:20" x14ac:dyDescent="0.35">
      <c r="A33" s="41">
        <v>45516</v>
      </c>
      <c r="B33" s="71">
        <v>1101.602661132812</v>
      </c>
      <c r="D33" s="39">
        <f t="shared" si="0"/>
        <v>8.9100434697009234E-5</v>
      </c>
      <c r="F33" s="42">
        <v>45516</v>
      </c>
      <c r="G33" s="13">
        <v>5021.2998046875</v>
      </c>
      <c r="I33" s="39">
        <f t="shared" si="1"/>
        <v>6.2825495541918297E-3</v>
      </c>
      <c r="M33"/>
      <c r="N33"/>
      <c r="O33"/>
      <c r="P33"/>
      <c r="Q33"/>
      <c r="R33"/>
      <c r="S33"/>
      <c r="T33"/>
    </row>
    <row r="34" spans="1:20" x14ac:dyDescent="0.35">
      <c r="A34" s="41">
        <v>45523</v>
      </c>
      <c r="B34" s="71">
        <v>1153.416748046875</v>
      </c>
      <c r="D34" s="39">
        <f t="shared" si="0"/>
        <v>4.7035186771227311E-2</v>
      </c>
      <c r="F34" s="42">
        <v>45523</v>
      </c>
      <c r="G34" s="13">
        <v>4901.5</v>
      </c>
      <c r="I34" s="39">
        <f t="shared" si="1"/>
        <v>-2.3858325403247949E-2</v>
      </c>
    </row>
    <row r="35" spans="1:20" x14ac:dyDescent="0.35">
      <c r="A35" s="41">
        <v>45530</v>
      </c>
      <c r="B35" s="71">
        <v>1237.203979492188</v>
      </c>
      <c r="D35" s="39">
        <f t="shared" si="0"/>
        <v>7.2642634665391448E-2</v>
      </c>
      <c r="F35" s="42">
        <v>45530</v>
      </c>
      <c r="G35" s="13">
        <v>4927.4501953125</v>
      </c>
      <c r="I35" s="39">
        <f t="shared" si="1"/>
        <v>5.2943375114760105E-3</v>
      </c>
    </row>
    <row r="36" spans="1:20" x14ac:dyDescent="0.35">
      <c r="A36" s="41">
        <v>45537</v>
      </c>
      <c r="B36" s="71">
        <v>1236.066162109375</v>
      </c>
      <c r="D36" s="39">
        <f t="shared" si="0"/>
        <v>-9.1966838263801698E-4</v>
      </c>
      <c r="F36" s="42">
        <v>45537</v>
      </c>
      <c r="G36" s="13">
        <v>5303.4501953125</v>
      </c>
      <c r="I36" s="39">
        <f t="shared" si="1"/>
        <v>7.6307214704613324E-2</v>
      </c>
    </row>
    <row r="37" spans="1:20" x14ac:dyDescent="0.35">
      <c r="A37" s="41">
        <v>45544</v>
      </c>
      <c r="B37" s="71">
        <v>1273.219848632812</v>
      </c>
      <c r="D37" s="39">
        <f t="shared" si="0"/>
        <v>3.0058007946786036E-2</v>
      </c>
      <c r="F37" s="42">
        <v>45544</v>
      </c>
      <c r="G37" s="13">
        <v>5187.0498046875</v>
      </c>
      <c r="I37" s="39">
        <f t="shared" si="1"/>
        <v>-2.1948050106679884E-2</v>
      </c>
    </row>
    <row r="38" spans="1:20" x14ac:dyDescent="0.35">
      <c r="A38" s="41">
        <v>45551</v>
      </c>
      <c r="B38" s="71">
        <v>1278.661865234375</v>
      </c>
      <c r="D38" s="39">
        <f t="shared" si="0"/>
        <v>4.2742159631006249E-3</v>
      </c>
      <c r="F38" s="42">
        <v>45551</v>
      </c>
      <c r="G38" s="13">
        <v>5320.5498046875</v>
      </c>
      <c r="I38" s="39">
        <f t="shared" si="1"/>
        <v>2.5737173350322662E-2</v>
      </c>
    </row>
    <row r="39" spans="1:20" x14ac:dyDescent="0.35">
      <c r="A39" s="41">
        <v>45558</v>
      </c>
      <c r="B39" s="71">
        <v>1336.445434570312</v>
      </c>
      <c r="D39" s="39">
        <f t="shared" si="0"/>
        <v>4.519065665991806E-2</v>
      </c>
      <c r="F39" s="42">
        <v>45558</v>
      </c>
      <c r="G39" s="13">
        <v>5102.2998046875</v>
      </c>
      <c r="I39" s="39">
        <f t="shared" si="1"/>
        <v>-4.1020196786376806E-2</v>
      </c>
    </row>
    <row r="40" spans="1:20" x14ac:dyDescent="0.35">
      <c r="A40" s="41">
        <v>45565</v>
      </c>
      <c r="B40" s="71">
        <v>1285.192138671875</v>
      </c>
      <c r="D40" s="39">
        <f t="shared" si="0"/>
        <v>-3.8350459040563667E-2</v>
      </c>
      <c r="F40" s="42">
        <v>45565</v>
      </c>
      <c r="G40" s="13">
        <v>4737.5498046875</v>
      </c>
      <c r="I40" s="39">
        <f t="shared" si="1"/>
        <v>-7.1487371178170056E-2</v>
      </c>
    </row>
    <row r="41" spans="1:20" x14ac:dyDescent="0.35">
      <c r="A41" s="41">
        <v>45572</v>
      </c>
      <c r="B41" s="71">
        <v>1306.119018554688</v>
      </c>
      <c r="D41" s="39">
        <f t="shared" si="0"/>
        <v>1.6283074921730423E-2</v>
      </c>
      <c r="F41" s="42">
        <v>45572</v>
      </c>
      <c r="G41" s="13">
        <v>4572.7001953125</v>
      </c>
      <c r="I41" s="39">
        <f t="shared" si="1"/>
        <v>-3.4796385509634487E-2</v>
      </c>
    </row>
    <row r="42" spans="1:20" x14ac:dyDescent="0.35">
      <c r="A42" s="41">
        <v>45579</v>
      </c>
      <c r="B42" s="71">
        <v>1311.363037109375</v>
      </c>
      <c r="D42" s="39">
        <f t="shared" si="0"/>
        <v>4.0149622509055849E-3</v>
      </c>
      <c r="F42" s="42">
        <v>45579</v>
      </c>
      <c r="G42" s="13">
        <v>3986.69995117187</v>
      </c>
      <c r="I42" s="39">
        <f t="shared" si="1"/>
        <v>-0.12815190568175494</v>
      </c>
    </row>
    <row r="43" spans="1:20" x14ac:dyDescent="0.35">
      <c r="A43" s="41">
        <v>45586</v>
      </c>
      <c r="B43" s="71">
        <v>1255.953979492188</v>
      </c>
      <c r="D43" s="39">
        <f t="shared" si="0"/>
        <v>-4.2253026850081699E-2</v>
      </c>
      <c r="F43" s="42">
        <v>45586</v>
      </c>
      <c r="G43" s="13">
        <v>4052.19995117187</v>
      </c>
      <c r="I43" s="39">
        <f t="shared" si="1"/>
        <v>1.6429628716037925E-2</v>
      </c>
    </row>
    <row r="44" spans="1:20" x14ac:dyDescent="0.35">
      <c r="A44" s="41">
        <v>45593</v>
      </c>
      <c r="B44" s="71">
        <v>1380.574829101562</v>
      </c>
      <c r="D44" s="39">
        <f t="shared" si="0"/>
        <v>9.9224057285730582E-2</v>
      </c>
      <c r="F44" s="42">
        <v>45593</v>
      </c>
      <c r="G44" s="13">
        <v>4001.60009765625</v>
      </c>
      <c r="I44" s="39">
        <f t="shared" si="1"/>
        <v>-1.2487008075943273E-2</v>
      </c>
    </row>
    <row r="45" spans="1:20" x14ac:dyDescent="0.35">
      <c r="A45" s="41">
        <v>45600</v>
      </c>
      <c r="B45" s="71">
        <v>1385.719970703125</v>
      </c>
      <c r="D45" s="39">
        <f t="shared" si="0"/>
        <v>3.7268111029600259E-3</v>
      </c>
      <c r="F45" s="42">
        <v>45600</v>
      </c>
      <c r="G45" s="13">
        <v>3874.5</v>
      </c>
      <c r="I45" s="39">
        <f t="shared" si="1"/>
        <v>-3.1762318711130777E-2</v>
      </c>
    </row>
    <row r="46" spans="1:20" x14ac:dyDescent="0.35">
      <c r="A46" s="41">
        <v>45607</v>
      </c>
      <c r="B46" s="71">
        <v>1307.4052734375</v>
      </c>
      <c r="D46" s="39">
        <f t="shared" si="0"/>
        <v>-5.6515529054465108E-2</v>
      </c>
      <c r="F46" s="42">
        <v>45607</v>
      </c>
      <c r="G46" s="13">
        <v>3823.85009765625</v>
      </c>
      <c r="I46" s="39">
        <f t="shared" si="1"/>
        <v>-1.3072629331204011E-2</v>
      </c>
    </row>
    <row r="47" spans="1:20" x14ac:dyDescent="0.35">
      <c r="A47" s="41">
        <v>45614</v>
      </c>
      <c r="B47" s="71">
        <v>1373.896118164062</v>
      </c>
      <c r="D47" s="39">
        <f t="shared" si="0"/>
        <v>5.0857103055535813E-2</v>
      </c>
      <c r="F47" s="42">
        <v>45614</v>
      </c>
      <c r="G47" s="13">
        <v>3613.64990234375</v>
      </c>
      <c r="I47" s="39">
        <f t="shared" si="1"/>
        <v>-5.4970825200846063E-2</v>
      </c>
    </row>
    <row r="48" spans="1:20" x14ac:dyDescent="0.35">
      <c r="A48" s="41">
        <v>45621</v>
      </c>
      <c r="B48" s="71">
        <v>1419.064208984375</v>
      </c>
      <c r="D48" s="39">
        <f t="shared" si="0"/>
        <v>3.2875914141653695E-2</v>
      </c>
      <c r="F48" s="42">
        <v>45621</v>
      </c>
      <c r="G48" s="13">
        <v>3709.60009765625</v>
      </c>
      <c r="I48" s="39">
        <f t="shared" si="1"/>
        <v>2.6552155827344714E-2</v>
      </c>
    </row>
    <row r="49" spans="1:9" x14ac:dyDescent="0.35">
      <c r="A49" s="41">
        <v>45628</v>
      </c>
      <c r="B49" s="71">
        <v>1325.215209960938</v>
      </c>
      <c r="D49" s="39">
        <f t="shared" si="0"/>
        <v>-6.6134427483450442E-2</v>
      </c>
      <c r="F49" s="42">
        <v>45628</v>
      </c>
      <c r="G49" s="13">
        <v>3805.55004882812</v>
      </c>
      <c r="I49" s="39">
        <f t="shared" si="1"/>
        <v>2.5865308563176814E-2</v>
      </c>
    </row>
    <row r="50" spans="1:9" x14ac:dyDescent="0.35">
      <c r="A50" s="41">
        <v>45635</v>
      </c>
      <c r="B50" s="71">
        <v>1342.481201171875</v>
      </c>
      <c r="D50" s="39">
        <f t="shared" si="0"/>
        <v>1.3028820587899892E-2</v>
      </c>
      <c r="F50" s="42">
        <v>45635</v>
      </c>
      <c r="G50" s="13">
        <v>3652.30004882812</v>
      </c>
      <c r="I50" s="39">
        <f t="shared" si="1"/>
        <v>-4.0270131264517617E-2</v>
      </c>
    </row>
    <row r="51" spans="1:9" x14ac:dyDescent="0.35">
      <c r="A51" s="41">
        <v>45642</v>
      </c>
      <c r="B51" s="71">
        <v>1285.340576171875</v>
      </c>
      <c r="D51" s="39">
        <f t="shared" si="0"/>
        <v>-4.2563445171612813E-2</v>
      </c>
      <c r="F51" s="42">
        <v>45642</v>
      </c>
      <c r="G51" s="13">
        <v>3408.30004882812</v>
      </c>
      <c r="I51" s="39">
        <f t="shared" si="1"/>
        <v>-6.6807216476721276E-2</v>
      </c>
    </row>
    <row r="52" spans="1:9" x14ac:dyDescent="0.35">
      <c r="A52" s="41">
        <v>45649</v>
      </c>
      <c r="B52" s="71">
        <v>1237.154541015625</v>
      </c>
      <c r="D52" s="39">
        <f t="shared" si="0"/>
        <v>-3.7488923986016442E-2</v>
      </c>
      <c r="F52" s="42">
        <v>45649</v>
      </c>
      <c r="G52" s="13">
        <v>3568.35009765625</v>
      </c>
      <c r="I52" s="39">
        <f t="shared" si="1"/>
        <v>4.6958908117012754E-2</v>
      </c>
    </row>
    <row r="53" spans="1:9" x14ac:dyDescent="0.35">
      <c r="A53" s="41">
        <v>45656</v>
      </c>
      <c r="B53" s="71">
        <v>1244.179565429688</v>
      </c>
      <c r="D53" s="39">
        <f t="shared" si="0"/>
        <v>5.67837257283621E-3</v>
      </c>
      <c r="F53" s="42">
        <v>45656</v>
      </c>
      <c r="G53" s="13">
        <v>4025.19995117187</v>
      </c>
      <c r="I53" s="39">
        <f t="shared" si="1"/>
        <v>0.12802831589189823</v>
      </c>
    </row>
    <row r="54" spans="1:9" x14ac:dyDescent="0.35">
      <c r="A54" s="41">
        <v>45663</v>
      </c>
      <c r="B54" s="71">
        <v>1168.239501953125</v>
      </c>
      <c r="D54" s="39">
        <f t="shared" si="0"/>
        <v>-6.1036256812605938E-2</v>
      </c>
      <c r="F54" s="42">
        <v>45663</v>
      </c>
      <c r="G54" s="13">
        <v>3686.25</v>
      </c>
      <c r="I54" s="39">
        <f t="shared" si="1"/>
        <v>-8.4206984816540653E-2</v>
      </c>
    </row>
    <row r="55" spans="1:9" x14ac:dyDescent="0.35">
      <c r="A55" s="41">
        <v>45670</v>
      </c>
      <c r="B55" s="71">
        <v>1181.597045898438</v>
      </c>
      <c r="D55" s="39">
        <f t="shared" si="0"/>
        <v>1.1433908820050354E-2</v>
      </c>
      <c r="F55" s="42">
        <v>45670</v>
      </c>
      <c r="G55" s="13">
        <v>3620.64990234375</v>
      </c>
      <c r="I55" s="39">
        <f t="shared" si="1"/>
        <v>-1.779588949643951E-2</v>
      </c>
    </row>
    <row r="56" spans="1:9" x14ac:dyDescent="0.35">
      <c r="A56" s="41">
        <v>45677</v>
      </c>
      <c r="B56" s="71">
        <v>1120.647216796875</v>
      </c>
      <c r="D56" s="39">
        <f t="shared" si="0"/>
        <v>-5.1582584192413239E-2</v>
      </c>
      <c r="F56" s="42">
        <v>45677</v>
      </c>
      <c r="G56" s="13">
        <v>3579.94995117187</v>
      </c>
      <c r="I56" s="39">
        <f t="shared" si="1"/>
        <v>-1.1241062314678252E-2</v>
      </c>
    </row>
    <row r="57" spans="1:9" x14ac:dyDescent="0.35">
      <c r="A57" s="41">
        <v>45684</v>
      </c>
      <c r="B57" s="71">
        <v>963.1273193359375</v>
      </c>
      <c r="D57" s="39">
        <f t="shared" si="0"/>
        <v>-0.1405615389927739</v>
      </c>
      <c r="F57" s="42">
        <v>45684</v>
      </c>
      <c r="G57" s="13">
        <v>4023.75</v>
      </c>
      <c r="I57" s="39">
        <f t="shared" si="1"/>
        <v>0.12396822717671108</v>
      </c>
    </row>
    <row r="58" spans="1:9" x14ac:dyDescent="0.35">
      <c r="A58" s="41">
        <v>45691</v>
      </c>
      <c r="B58" s="71">
        <v>925.8251953125</v>
      </c>
      <c r="D58" s="39">
        <f t="shared" si="0"/>
        <v>-3.8730210715190561E-2</v>
      </c>
      <c r="F58" s="42">
        <v>45691</v>
      </c>
      <c r="G58" s="13">
        <v>3743.5</v>
      </c>
      <c r="I58" s="39">
        <f t="shared" si="1"/>
        <v>-6.964895930413173E-2</v>
      </c>
    </row>
    <row r="59" spans="1:9" x14ac:dyDescent="0.35">
      <c r="A59" s="41">
        <v>45698</v>
      </c>
      <c r="B59" s="71">
        <v>870.762451171875</v>
      </c>
      <c r="D59" s="39">
        <f t="shared" si="0"/>
        <v>-5.9474233818014977E-2</v>
      </c>
      <c r="F59" s="42">
        <v>45698</v>
      </c>
      <c r="G59" s="13">
        <v>3682.64990234375</v>
      </c>
      <c r="I59" s="39">
        <f t="shared" si="1"/>
        <v>-1.6254867812541707E-2</v>
      </c>
    </row>
    <row r="60" spans="1:9" x14ac:dyDescent="0.35">
      <c r="A60" s="41">
        <v>45705</v>
      </c>
      <c r="B60" s="71">
        <v>863.2921142578125</v>
      </c>
      <c r="D60" s="39">
        <f t="shared" si="0"/>
        <v>-8.5790756181652883E-3</v>
      </c>
      <c r="F60" s="42">
        <v>45705</v>
      </c>
      <c r="G60" s="13">
        <v>3596.69995117187</v>
      </c>
      <c r="I60" s="39">
        <f t="shared" si="1"/>
        <v>-2.333915888045146E-2</v>
      </c>
    </row>
    <row r="61" spans="1:9" x14ac:dyDescent="0.35">
      <c r="A61" s="41">
        <v>45712</v>
      </c>
      <c r="B61" s="71">
        <v>834.25189208984375</v>
      </c>
      <c r="D61" s="39">
        <f t="shared" si="0"/>
        <v>-3.3638929034971121E-2</v>
      </c>
      <c r="F61" s="42">
        <v>45712</v>
      </c>
      <c r="G61" s="13">
        <v>3403.94995117187</v>
      </c>
      <c r="I61" s="39">
        <f t="shared" si="1"/>
        <v>-5.3590792286467681E-2</v>
      </c>
    </row>
    <row r="62" spans="1:9" x14ac:dyDescent="0.35">
      <c r="A62" s="41">
        <v>45719</v>
      </c>
      <c r="B62" s="71">
        <v>824.1595458984375</v>
      </c>
      <c r="D62" s="39">
        <f t="shared" si="0"/>
        <v>-1.2097480733456178E-2</v>
      </c>
      <c r="F62" s="42">
        <v>45719</v>
      </c>
      <c r="G62" s="13">
        <v>3593.60009765625</v>
      </c>
      <c r="I62" s="39">
        <f t="shared" si="1"/>
        <v>5.5714728243607015E-2</v>
      </c>
    </row>
    <row r="63" spans="1:9" x14ac:dyDescent="0.35">
      <c r="A63" s="41">
        <v>45726</v>
      </c>
      <c r="B63" s="71">
        <v>770.18524169921875</v>
      </c>
      <c r="D63" s="39">
        <f t="shared" si="0"/>
        <v>-6.5490115922130054E-2</v>
      </c>
      <c r="F63" s="42">
        <v>45726</v>
      </c>
      <c r="G63" s="13">
        <v>3797.10009765625</v>
      </c>
      <c r="I63" s="39">
        <f t="shared" si="1"/>
        <v>5.6628449039926032E-2</v>
      </c>
    </row>
    <row r="64" spans="1:9" x14ac:dyDescent="0.35">
      <c r="A64" s="41">
        <v>45733</v>
      </c>
      <c r="B64" s="71">
        <v>772.36199951171875</v>
      </c>
      <c r="D64" s="39">
        <f t="shared" si="0"/>
        <v>2.8262782700139155E-3</v>
      </c>
      <c r="F64" s="42">
        <v>45733</v>
      </c>
      <c r="G64" s="13">
        <v>3892.19995117187</v>
      </c>
      <c r="I64" s="39">
        <f t="shared" si="1"/>
        <v>2.504539018455687E-2</v>
      </c>
    </row>
    <row r="65" spans="1:9" x14ac:dyDescent="0.35">
      <c r="A65" s="41">
        <v>45740</v>
      </c>
      <c r="B65" s="71">
        <v>767.662109375</v>
      </c>
      <c r="D65" s="39">
        <f t="shared" si="0"/>
        <v>-6.0850872255366895E-3</v>
      </c>
      <c r="F65" s="42">
        <v>45740</v>
      </c>
      <c r="G65" s="13">
        <v>4083.19995117187</v>
      </c>
      <c r="I65" s="39">
        <f t="shared" si="1"/>
        <v>4.9072504597944322E-2</v>
      </c>
    </row>
    <row r="66" spans="1:9" x14ac:dyDescent="0.35">
      <c r="A66" s="41">
        <v>45747</v>
      </c>
      <c r="B66" s="71">
        <v>757.56982421875</v>
      </c>
      <c r="D66" s="39">
        <f t="shared" si="0"/>
        <v>-1.3146780377719436E-2</v>
      </c>
      <c r="F66" s="42">
        <v>45747</v>
      </c>
      <c r="G66" s="13">
        <v>4039.89990234375</v>
      </c>
      <c r="I66" s="39">
        <f t="shared" si="1"/>
        <v>-1.0604439984794989E-2</v>
      </c>
    </row>
    <row r="67" spans="1:9" x14ac:dyDescent="0.35">
      <c r="A67" s="41">
        <v>45754</v>
      </c>
      <c r="B67" s="71">
        <v>793.9814453125</v>
      </c>
      <c r="D67" s="39">
        <f t="shared" si="0"/>
        <v>4.8063716280277946E-2</v>
      </c>
      <c r="F67" s="42">
        <v>45754</v>
      </c>
      <c r="G67" s="13">
        <v>4131.5</v>
      </c>
      <c r="I67" s="39">
        <f t="shared" si="1"/>
        <v>2.2673853281143908E-2</v>
      </c>
    </row>
    <row r="68" spans="1:9" x14ac:dyDescent="0.35">
      <c r="A68" s="41">
        <v>45761</v>
      </c>
      <c r="B68" s="71">
        <v>769.69049072265625</v>
      </c>
      <c r="D68" s="39">
        <f t="shared" si="0"/>
        <v>-3.0593856737147318E-2</v>
      </c>
      <c r="F68" s="42">
        <v>45761</v>
      </c>
      <c r="G68" s="13">
        <v>4357.10009765625</v>
      </c>
      <c r="I68" s="39">
        <f t="shared" si="1"/>
        <v>5.4604888698112086E-2</v>
      </c>
    </row>
    <row r="69" spans="1:9" x14ac:dyDescent="0.35">
      <c r="A69" s="41">
        <v>45768</v>
      </c>
      <c r="B69" s="71">
        <v>785.17529296875</v>
      </c>
      <c r="D69" s="39">
        <f t="shared" si="0"/>
        <v>2.0118219508669322E-2</v>
      </c>
      <c r="F69" s="42">
        <v>45768</v>
      </c>
      <c r="G69" s="13">
        <v>4375.2001953125</v>
      </c>
      <c r="I69" s="39">
        <f t="shared" si="1"/>
        <v>4.154161541064072E-3</v>
      </c>
    </row>
    <row r="70" spans="1:9" x14ac:dyDescent="0.35">
      <c r="A70" s="41">
        <v>45775</v>
      </c>
      <c r="B70" s="71">
        <v>764.84222412109375</v>
      </c>
      <c r="D70" s="39">
        <f t="shared" si="0"/>
        <v>-2.5896215825611191E-2</v>
      </c>
      <c r="F70" s="42">
        <v>45775</v>
      </c>
      <c r="G70" s="13">
        <v>4042.19995117187</v>
      </c>
      <c r="I70" s="39">
        <f t="shared" si="1"/>
        <v>-7.6110858766508471E-2</v>
      </c>
    </row>
    <row r="71" spans="1:9" x14ac:dyDescent="0.35">
      <c r="A71" s="41">
        <v>45782</v>
      </c>
      <c r="B71" s="71">
        <v>715.4193115234375</v>
      </c>
      <c r="D71" s="39">
        <f t="shared" si="0"/>
        <v>-6.4618441606633104E-2</v>
      </c>
      <c r="F71" s="42">
        <v>45782</v>
      </c>
      <c r="G71" s="13">
        <v>3972.39990234375</v>
      </c>
      <c r="I71" s="39">
        <f t="shared" si="1"/>
        <v>-1.7267836740209819E-2</v>
      </c>
    </row>
    <row r="72" spans="1:9" x14ac:dyDescent="0.35">
      <c r="A72" s="41">
        <v>45789</v>
      </c>
      <c r="B72" s="71">
        <v>743.66802978515625</v>
      </c>
      <c r="D72" s="39">
        <f t="shared" ref="D72:D110" si="2">B72/B71-1</f>
        <v>3.9485540586771339E-2</v>
      </c>
      <c r="F72" s="42">
        <v>45789</v>
      </c>
      <c r="G72" s="13">
        <v>4189.7001953125</v>
      </c>
      <c r="I72" s="39">
        <f t="shared" ref="I72:I110" si="3">G72/G71-1</f>
        <v>5.4702521979355767E-2</v>
      </c>
    </row>
    <row r="73" spans="1:9" x14ac:dyDescent="0.35">
      <c r="A73" s="41">
        <v>45796</v>
      </c>
      <c r="B73" s="71">
        <v>726.74853515625</v>
      </c>
      <c r="D73" s="39">
        <f t="shared" si="2"/>
        <v>-2.2751407820764125E-2</v>
      </c>
      <c r="F73" s="42">
        <v>45796</v>
      </c>
      <c r="G73" s="13">
        <v>4140.7998046875</v>
      </c>
      <c r="I73" s="39">
        <f t="shared" si="3"/>
        <v>-1.1671572748739978E-2</v>
      </c>
    </row>
    <row r="74" spans="1:9" x14ac:dyDescent="0.35">
      <c r="A74" s="41">
        <v>45803</v>
      </c>
      <c r="B74" s="71">
        <v>788.8857421875</v>
      </c>
      <c r="D74" s="39">
        <f t="shared" si="2"/>
        <v>8.5500285209230809E-2</v>
      </c>
      <c r="F74" s="42">
        <v>45803</v>
      </c>
      <c r="G74" s="13">
        <v>4002.10009765625</v>
      </c>
      <c r="I74" s="39">
        <f t="shared" si="3"/>
        <v>-3.349587364118356E-2</v>
      </c>
    </row>
    <row r="75" spans="1:9" x14ac:dyDescent="0.35">
      <c r="A75" s="41">
        <v>45810</v>
      </c>
      <c r="B75" s="71">
        <v>811.04937744140625</v>
      </c>
      <c r="D75" s="39">
        <f t="shared" si="2"/>
        <v>2.8094860977520897E-2</v>
      </c>
      <c r="F75" s="42">
        <v>45810</v>
      </c>
      <c r="G75" s="13">
        <v>4201.60009765625</v>
      </c>
      <c r="I75" s="39">
        <f t="shared" si="3"/>
        <v>4.9848828148209678E-2</v>
      </c>
    </row>
    <row r="76" spans="1:9" x14ac:dyDescent="0.35">
      <c r="A76" s="41">
        <v>45817</v>
      </c>
      <c r="B76" s="71">
        <v>778.100830078125</v>
      </c>
      <c r="D76" s="39">
        <f t="shared" si="2"/>
        <v>-4.0624588686847929E-2</v>
      </c>
      <c r="F76" s="42">
        <v>45817</v>
      </c>
      <c r="G76" s="13">
        <v>4051.89990234375</v>
      </c>
      <c r="I76" s="39">
        <f t="shared" si="3"/>
        <v>-3.5629329739402471E-2</v>
      </c>
    </row>
    <row r="77" spans="1:9" x14ac:dyDescent="0.35">
      <c r="A77" s="41">
        <v>45824</v>
      </c>
      <c r="B77" s="71">
        <v>792.2498779296875</v>
      </c>
      <c r="D77" s="39">
        <f t="shared" si="2"/>
        <v>1.8184080140541514E-2</v>
      </c>
      <c r="F77" s="42">
        <v>45824</v>
      </c>
      <c r="G77" s="13">
        <v>4300.2998046875</v>
      </c>
      <c r="I77" s="39">
        <f t="shared" si="3"/>
        <v>6.1304550539382108E-2</v>
      </c>
    </row>
    <row r="78" spans="1:9" x14ac:dyDescent="0.35">
      <c r="A78" s="41">
        <v>45831</v>
      </c>
      <c r="B78" s="71">
        <v>795.56451416015625</v>
      </c>
      <c r="D78" s="39">
        <f t="shared" si="2"/>
        <v>4.1838267481095759E-3</v>
      </c>
      <c r="F78" s="42">
        <v>45831</v>
      </c>
      <c r="G78" s="13">
        <v>4313.5</v>
      </c>
      <c r="I78" s="39">
        <f t="shared" si="3"/>
        <v>3.0695988447388967E-3</v>
      </c>
    </row>
    <row r="79" spans="1:9" x14ac:dyDescent="0.35">
      <c r="A79" s="41">
        <v>45838</v>
      </c>
      <c r="B79" s="71">
        <v>818.76702880859375</v>
      </c>
      <c r="D79" s="39">
        <f t="shared" si="2"/>
        <v>2.9164843624192249E-2</v>
      </c>
      <c r="F79" s="42">
        <v>45838</v>
      </c>
      <c r="G79" s="13">
        <v>4261.10009765625</v>
      </c>
      <c r="I79" s="39">
        <f t="shared" si="3"/>
        <v>-1.2147885091862709E-2</v>
      </c>
    </row>
    <row r="80" spans="1:9" x14ac:dyDescent="0.35">
      <c r="A80" s="41">
        <v>45845</v>
      </c>
      <c r="B80" s="71">
        <v>787.69842529296875</v>
      </c>
      <c r="D80" s="39">
        <f t="shared" si="2"/>
        <v>-3.7945596760086464E-2</v>
      </c>
      <c r="F80" s="42">
        <v>45845</v>
      </c>
      <c r="G80" s="13">
        <v>4064.19995117187</v>
      </c>
      <c r="I80" s="39">
        <f t="shared" si="3"/>
        <v>-4.6208758764592739E-2</v>
      </c>
    </row>
    <row r="81" spans="1:9" x14ac:dyDescent="0.35">
      <c r="A81" s="41">
        <v>45852</v>
      </c>
      <c r="B81" s="71">
        <v>790.815185546875</v>
      </c>
      <c r="D81" s="39">
        <f t="shared" si="2"/>
        <v>3.9567938107112344E-3</v>
      </c>
      <c r="F81" s="42">
        <v>45852</v>
      </c>
      <c r="G81" s="13">
        <v>4048.60009765625</v>
      </c>
      <c r="I81" s="39">
        <f t="shared" si="3"/>
        <v>-3.8383577833374094E-3</v>
      </c>
    </row>
    <row r="82" spans="1:9" x14ac:dyDescent="0.35">
      <c r="A82" s="41">
        <v>45859</v>
      </c>
      <c r="B82" s="71">
        <v>779.5849609375</v>
      </c>
      <c r="D82" s="39">
        <f t="shared" si="2"/>
        <v>-1.4200820640044909E-2</v>
      </c>
      <c r="F82" s="42">
        <v>45859</v>
      </c>
      <c r="G82" s="13">
        <v>3997</v>
      </c>
      <c r="I82" s="39">
        <f t="shared" si="3"/>
        <v>-1.2745170283951057E-2</v>
      </c>
    </row>
    <row r="83" spans="1:9" x14ac:dyDescent="0.35">
      <c r="A83" s="41">
        <v>45866</v>
      </c>
      <c r="B83" s="71">
        <v>734.6146240234375</v>
      </c>
      <c r="D83" s="39">
        <f t="shared" si="2"/>
        <v>-5.7684972347315178E-2</v>
      </c>
      <c r="F83" s="42">
        <v>45866</v>
      </c>
      <c r="G83" s="13">
        <v>4196</v>
      </c>
      <c r="I83" s="39">
        <f t="shared" si="3"/>
        <v>4.978734050537903E-2</v>
      </c>
    </row>
    <row r="84" spans="1:9" x14ac:dyDescent="0.35">
      <c r="A84" s="41">
        <v>45873</v>
      </c>
      <c r="B84" s="71">
        <v>733.179931640625</v>
      </c>
      <c r="D84" s="39">
        <f t="shared" si="2"/>
        <v>-1.9529864174970823E-3</v>
      </c>
      <c r="F84" s="42">
        <v>45873</v>
      </c>
      <c r="G84" s="13">
        <v>4170.10009765625</v>
      </c>
      <c r="I84" s="39">
        <f t="shared" si="3"/>
        <v>-6.1725220075666831E-3</v>
      </c>
    </row>
    <row r="85" spans="1:9" x14ac:dyDescent="0.35">
      <c r="A85" s="41">
        <v>45880</v>
      </c>
      <c r="B85" s="71">
        <v>735.75244140625</v>
      </c>
      <c r="D85" s="39">
        <f t="shared" si="2"/>
        <v>3.5087018269424064E-3</v>
      </c>
      <c r="F85" s="42">
        <v>45880</v>
      </c>
      <c r="G85" s="13">
        <v>4358.2001953125</v>
      </c>
      <c r="I85" s="39">
        <f t="shared" si="3"/>
        <v>4.5106854332338298E-2</v>
      </c>
    </row>
    <row r="86" spans="1:9" x14ac:dyDescent="0.35">
      <c r="A86" s="41">
        <v>45887</v>
      </c>
      <c r="B86" s="71">
        <v>768.05792236328125</v>
      </c>
      <c r="D86" s="39">
        <f t="shared" si="2"/>
        <v>4.3908085300111921E-2</v>
      </c>
      <c r="F86" s="42">
        <v>45887</v>
      </c>
      <c r="G86" s="13">
        <v>4698.7998046875</v>
      </c>
      <c r="I86" s="39">
        <f t="shared" si="3"/>
        <v>7.8151437316104744E-2</v>
      </c>
    </row>
    <row r="87" spans="1:9" x14ac:dyDescent="0.35">
      <c r="A87" s="41">
        <v>45894</v>
      </c>
      <c r="B87" s="71">
        <v>733.13043212890625</v>
      </c>
      <c r="D87" s="39">
        <f t="shared" si="2"/>
        <v>-4.547507319097055E-2</v>
      </c>
      <c r="F87" s="42">
        <v>45894</v>
      </c>
      <c r="G87" s="13">
        <v>4755.60009765625</v>
      </c>
      <c r="I87" s="39">
        <f t="shared" si="3"/>
        <v>1.2088255582220375E-2</v>
      </c>
    </row>
    <row r="88" spans="1:9" x14ac:dyDescent="0.35">
      <c r="A88" s="41">
        <v>45901</v>
      </c>
      <c r="B88" s="71">
        <v>724</v>
      </c>
      <c r="D88" s="39">
        <f t="shared" si="2"/>
        <v>-1.2454035092217874E-2</v>
      </c>
      <c r="F88" s="42">
        <v>45901</v>
      </c>
      <c r="G88" s="13">
        <v>4793.2998046875</v>
      </c>
      <c r="I88" s="39">
        <f t="shared" si="3"/>
        <v>7.9274342369177742E-3</v>
      </c>
    </row>
    <row r="89" spans="1:9" x14ac:dyDescent="0.35">
      <c r="A89" s="41">
        <v>45908</v>
      </c>
      <c r="B89" s="71">
        <v>723.04998779296875</v>
      </c>
      <c r="D89" s="39">
        <f t="shared" si="2"/>
        <v>-1.3121715566729586E-3</v>
      </c>
      <c r="F89" s="42">
        <v>45908</v>
      </c>
      <c r="G89" s="13">
        <v>4616.60009765625</v>
      </c>
      <c r="I89" s="39">
        <f t="shared" si="3"/>
        <v>-3.686389632011966E-2</v>
      </c>
    </row>
    <row r="90" spans="1:9" x14ac:dyDescent="0.35">
      <c r="A90" s="41">
        <v>45915</v>
      </c>
      <c r="B90" s="71">
        <v>717.54998779296875</v>
      </c>
      <c r="D90" s="39">
        <f t="shared" si="2"/>
        <v>-7.6066663340775831E-3</v>
      </c>
      <c r="F90" s="42">
        <v>45915</v>
      </c>
      <c r="G90" s="13">
        <v>4775.2998046875</v>
      </c>
      <c r="I90" s="39">
        <f t="shared" si="3"/>
        <v>3.4375883480100011E-2</v>
      </c>
    </row>
    <row r="91" spans="1:9" x14ac:dyDescent="0.35">
      <c r="A91" s="41">
        <v>45922</v>
      </c>
      <c r="B91" s="71">
        <v>704</v>
      </c>
      <c r="D91" s="39">
        <f t="shared" si="2"/>
        <v>-1.888368479336977E-2</v>
      </c>
      <c r="F91" s="42">
        <v>45922</v>
      </c>
      <c r="G91" s="13">
        <v>4517.7998046875</v>
      </c>
      <c r="I91" s="39">
        <f t="shared" si="3"/>
        <v>-5.3923315924004234E-2</v>
      </c>
    </row>
    <row r="92" spans="1:9" x14ac:dyDescent="0.35">
      <c r="A92" s="41">
        <v>45929</v>
      </c>
      <c r="B92" s="71">
        <v>694.9000244140625</v>
      </c>
      <c r="D92" s="39">
        <f t="shared" si="2"/>
        <v>-1.2926101684570313E-2</v>
      </c>
      <c r="F92" s="42">
        <v>45929</v>
      </c>
      <c r="G92" s="13">
        <v>4418.39990234375</v>
      </c>
      <c r="I92" s="39">
        <f t="shared" si="3"/>
        <v>-2.200183864734695E-2</v>
      </c>
    </row>
    <row r="93" spans="1:9" x14ac:dyDescent="0.35">
      <c r="A93" s="41">
        <v>45936</v>
      </c>
      <c r="B93" s="71">
        <v>697.20001220703125</v>
      </c>
      <c r="D93" s="39">
        <f t="shared" si="2"/>
        <v>3.3098110694529392E-3</v>
      </c>
      <c r="F93" s="42">
        <v>45936</v>
      </c>
      <c r="G93" s="13">
        <v>4320.39990234375</v>
      </c>
      <c r="I93" s="39">
        <f t="shared" si="3"/>
        <v>-2.2179975141683239E-2</v>
      </c>
    </row>
    <row r="94" spans="1:9" x14ac:dyDescent="0.35">
      <c r="A94" s="41">
        <v>45943</v>
      </c>
      <c r="B94" s="71">
        <v>691.3499755859375</v>
      </c>
      <c r="D94" s="39">
        <f t="shared" si="2"/>
        <v>-8.3907580589034358E-3</v>
      </c>
      <c r="F94" s="42">
        <v>45943</v>
      </c>
      <c r="G94" s="13">
        <v>4302.5</v>
      </c>
      <c r="I94" s="39">
        <f t="shared" si="3"/>
        <v>-4.1431123850456109E-3</v>
      </c>
    </row>
    <row r="95" spans="1:9" x14ac:dyDescent="0.35">
      <c r="A95" s="41">
        <v>45950</v>
      </c>
      <c r="B95" s="71">
        <v>688.20001220703125</v>
      </c>
      <c r="D95" s="39">
        <f t="shared" si="2"/>
        <v>-4.5562500761450186E-3</v>
      </c>
      <c r="F95" s="42">
        <v>45950</v>
      </c>
      <c r="G95" s="13">
        <v>4213.89990234375</v>
      </c>
      <c r="I95" s="39">
        <f t="shared" si="3"/>
        <v>-2.0592701372748379E-2</v>
      </c>
    </row>
    <row r="96" spans="1:9" x14ac:dyDescent="0.35">
      <c r="A96" s="41">
        <v>45957</v>
      </c>
      <c r="B96" s="71">
        <v>645.75</v>
      </c>
      <c r="D96" s="39">
        <f t="shared" si="2"/>
        <v>-6.1682667035845684E-2</v>
      </c>
      <c r="F96" s="42">
        <v>45957</v>
      </c>
      <c r="G96" s="13">
        <v>4153.5</v>
      </c>
      <c r="I96" s="39">
        <f t="shared" si="3"/>
        <v>-1.4333492428274308E-2</v>
      </c>
    </row>
    <row r="97" spans="1:9" x14ac:dyDescent="0.35">
      <c r="A97" s="41">
        <v>45964</v>
      </c>
      <c r="B97" s="71">
        <v>639.5</v>
      </c>
      <c r="D97" s="39">
        <f t="shared" si="2"/>
        <v>-9.6786682152535386E-3</v>
      </c>
      <c r="F97" s="42">
        <v>45964</v>
      </c>
      <c r="G97" s="13">
        <v>4011</v>
      </c>
      <c r="I97" s="39">
        <f t="shared" si="3"/>
        <v>-3.4308414590104697E-2</v>
      </c>
    </row>
    <row r="98" spans="1:9" x14ac:dyDescent="0.35">
      <c r="A98" s="41">
        <v>45971</v>
      </c>
      <c r="B98" s="71">
        <v>626.5</v>
      </c>
      <c r="D98" s="39">
        <f t="shared" si="2"/>
        <v>-2.0328381548084473E-2</v>
      </c>
      <c r="F98" s="42">
        <v>45971</v>
      </c>
      <c r="G98" s="13">
        <v>4053.69995117187</v>
      </c>
      <c r="I98" s="39">
        <f t="shared" si="3"/>
        <v>1.0645712084734527E-2</v>
      </c>
    </row>
    <row r="99" spans="1:9" x14ac:dyDescent="0.35">
      <c r="A99" s="41">
        <v>45978</v>
      </c>
      <c r="B99" s="71">
        <v>608.1500244140625</v>
      </c>
      <c r="D99" s="39">
        <f t="shared" si="2"/>
        <v>-2.9289665739724691E-2</v>
      </c>
      <c r="F99" s="42">
        <v>45978</v>
      </c>
      <c r="G99" s="13">
        <v>4038</v>
      </c>
      <c r="I99" s="39">
        <f t="shared" si="3"/>
        <v>-3.8729929104228678E-3</v>
      </c>
    </row>
    <row r="100" spans="1:9" x14ac:dyDescent="0.35">
      <c r="A100" s="41">
        <v>45985</v>
      </c>
      <c r="B100" s="71">
        <v>608.1500244140625</v>
      </c>
      <c r="D100" s="39">
        <f t="shared" si="2"/>
        <v>0</v>
      </c>
      <c r="F100" s="42">
        <v>45985</v>
      </c>
      <c r="G100" s="13">
        <v>3996.5</v>
      </c>
      <c r="I100" s="39">
        <f t="shared" si="3"/>
        <v>-1.0277365032194119E-2</v>
      </c>
    </row>
    <row r="101" spans="1:9" x14ac:dyDescent="0.35">
      <c r="A101" s="41">
        <v>45992</v>
      </c>
      <c r="B101" s="71">
        <v>597.25</v>
      </c>
      <c r="D101" s="39">
        <f t="shared" si="2"/>
        <v>-1.7923249159719101E-2</v>
      </c>
      <c r="F101" s="42">
        <v>45992</v>
      </c>
      <c r="G101" s="13">
        <v>3952.10009765625</v>
      </c>
      <c r="I101" s="39">
        <f t="shared" si="3"/>
        <v>-1.1109696570436589E-2</v>
      </c>
    </row>
    <row r="102" spans="1:9" x14ac:dyDescent="0.35">
      <c r="A102" s="41">
        <v>45999</v>
      </c>
      <c r="B102" s="71">
        <v>596.3499755859375</v>
      </c>
      <c r="D102" s="39">
        <f t="shared" si="2"/>
        <v>-1.5069475329635429E-3</v>
      </c>
      <c r="F102" s="42">
        <v>45999</v>
      </c>
      <c r="G102" s="13">
        <v>3843</v>
      </c>
      <c r="I102" s="39">
        <f t="shared" si="3"/>
        <v>-2.7605600809794906E-2</v>
      </c>
    </row>
    <row r="103" spans="1:9" x14ac:dyDescent="0.35">
      <c r="A103" s="41">
        <v>46006</v>
      </c>
      <c r="B103" s="71">
        <v>598.20001220703125</v>
      </c>
      <c r="D103" s="39">
        <f t="shared" si="2"/>
        <v>3.1022666166389268E-3</v>
      </c>
      <c r="F103" s="42">
        <v>46006</v>
      </c>
      <c r="G103" s="13">
        <v>3819.5</v>
      </c>
      <c r="I103" s="39">
        <f t="shared" si="3"/>
        <v>-6.115014311735667E-3</v>
      </c>
    </row>
    <row r="104" spans="1:9" x14ac:dyDescent="0.35">
      <c r="A104" s="41">
        <v>46013</v>
      </c>
      <c r="B104" s="71">
        <v>578.79998779296875</v>
      </c>
      <c r="D104" s="39">
        <f t="shared" si="2"/>
        <v>-3.2430665359713062E-2</v>
      </c>
      <c r="F104" s="42">
        <v>46013</v>
      </c>
      <c r="G104" s="13">
        <v>3787.39990234375</v>
      </c>
      <c r="I104" s="39">
        <f t="shared" si="3"/>
        <v>-8.4042669606624321E-3</v>
      </c>
    </row>
    <row r="105" spans="1:9" x14ac:dyDescent="0.35">
      <c r="A105" s="41">
        <v>46020</v>
      </c>
      <c r="B105" s="71">
        <v>579.6500244140625</v>
      </c>
      <c r="D105" s="39">
        <f t="shared" si="2"/>
        <v>1.4686189340380462E-3</v>
      </c>
      <c r="F105" s="42">
        <v>46020</v>
      </c>
      <c r="G105" s="13">
        <v>3719.80004882812</v>
      </c>
      <c r="I105" s="39">
        <f t="shared" si="3"/>
        <v>-1.7848617853582716E-2</v>
      </c>
    </row>
    <row r="106" spans="1:9" x14ac:dyDescent="0.35">
      <c r="A106" s="41">
        <v>46027</v>
      </c>
      <c r="B106" s="71">
        <v>540.45001220703125</v>
      </c>
      <c r="D106" s="39">
        <f t="shared" si="2"/>
        <v>-6.7627034513897399E-2</v>
      </c>
      <c r="F106" s="42">
        <v>46027</v>
      </c>
      <c r="G106" s="13">
        <v>3801.30004882812</v>
      </c>
      <c r="I106" s="39">
        <f t="shared" si="3"/>
        <v>2.1909779808104268E-2</v>
      </c>
    </row>
    <row r="107" spans="1:9" x14ac:dyDescent="0.35">
      <c r="A107" s="41">
        <v>46034</v>
      </c>
      <c r="B107" s="71">
        <v>528.1500244140625</v>
      </c>
      <c r="D107" s="39">
        <f t="shared" si="2"/>
        <v>-2.2758789000187796E-2</v>
      </c>
      <c r="F107" s="42">
        <v>46034</v>
      </c>
      <c r="G107" s="13">
        <v>3775.69995117187</v>
      </c>
      <c r="I107" s="39">
        <f t="shared" si="3"/>
        <v>-6.7345637880235065E-3</v>
      </c>
    </row>
    <row r="108" spans="1:9" x14ac:dyDescent="0.35">
      <c r="A108" s="41">
        <v>46041</v>
      </c>
      <c r="B108" s="71">
        <v>484.5</v>
      </c>
      <c r="D108" s="39">
        <f t="shared" si="2"/>
        <v>-8.26470176963231E-2</v>
      </c>
      <c r="F108" s="42">
        <v>46041</v>
      </c>
      <c r="G108" s="13">
        <v>3665.60009765625</v>
      </c>
      <c r="I108" s="39">
        <f t="shared" si="3"/>
        <v>-2.9160117313201228E-2</v>
      </c>
    </row>
    <row r="109" spans="1:9" x14ac:dyDescent="0.35">
      <c r="A109" s="41">
        <v>46048</v>
      </c>
      <c r="B109" s="71">
        <v>478.45001220703119</v>
      </c>
      <c r="D109" s="39">
        <f t="shared" si="2"/>
        <v>-1.2487074908088314E-2</v>
      </c>
      <c r="F109" s="42">
        <v>46048</v>
      </c>
      <c r="G109" s="13">
        <v>3613.69995117187</v>
      </c>
      <c r="I109" s="39">
        <f t="shared" si="3"/>
        <v>-1.4158703923421556E-2</v>
      </c>
    </row>
    <row r="110" spans="1:9" ht="15" thickBot="1" x14ac:dyDescent="0.4">
      <c r="A110" s="41">
        <v>46055</v>
      </c>
      <c r="B110" s="71">
        <v>470.75</v>
      </c>
      <c r="D110" s="40">
        <f t="shared" si="2"/>
        <v>-1.6093660801704157E-2</v>
      </c>
      <c r="F110" s="42">
        <v>46055</v>
      </c>
      <c r="G110" s="13">
        <v>3883.89990234375</v>
      </c>
      <c r="I110" s="40">
        <f t="shared" si="3"/>
        <v>7.477099782018648E-2</v>
      </c>
    </row>
  </sheetData>
  <mergeCells count="1"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0185-FB1D-41F1-B43C-D57C226620E6}">
  <dimension ref="A1:V110"/>
  <sheetViews>
    <sheetView showGridLines="0" workbookViewId="0">
      <selection activeCell="K14" sqref="K14"/>
    </sheetView>
  </sheetViews>
  <sheetFormatPr defaultRowHeight="14.5" x14ac:dyDescent="0.35"/>
  <cols>
    <col min="1" max="1" width="10.453125" bestFit="1" customWidth="1"/>
    <col min="2" max="2" width="7.36328125" bestFit="1" customWidth="1"/>
    <col min="6" max="6" width="10.453125" bestFit="1" customWidth="1"/>
    <col min="11" max="11" width="18.08984375" bestFit="1" customWidth="1"/>
    <col min="12" max="12" width="11.81640625" bestFit="1" customWidth="1"/>
    <col min="13" max="15" width="8.7265625" style="36"/>
    <col min="16" max="16" width="13.54296875" style="36" bestFit="1" customWidth="1"/>
    <col min="17" max="16384" width="8.7265625" style="36"/>
  </cols>
  <sheetData>
    <row r="1" spans="1:20" customFormat="1" x14ac:dyDescent="0.35"/>
    <row r="2" spans="1:20" customFormat="1" x14ac:dyDescent="0.35">
      <c r="O2" s="54" t="s">
        <v>73</v>
      </c>
      <c r="P2" s="55"/>
    </row>
    <row r="3" spans="1:20" customFormat="1" x14ac:dyDescent="0.35">
      <c r="B3" s="47" t="s">
        <v>102</v>
      </c>
      <c r="G3" s="47" t="s">
        <v>41</v>
      </c>
      <c r="K3" s="48" t="s">
        <v>75</v>
      </c>
      <c r="L3" s="48"/>
      <c r="O3" s="57" t="s">
        <v>74</v>
      </c>
      <c r="P3" s="56"/>
    </row>
    <row r="4" spans="1:20" customFormat="1" x14ac:dyDescent="0.35">
      <c r="O4" s="58" t="s">
        <v>44</v>
      </c>
      <c r="P4" s="59">
        <f>SLOPE(D7:D110,I7:I110)</f>
        <v>0.34585092814195423</v>
      </c>
    </row>
    <row r="5" spans="1:20" customFormat="1" ht="15" thickBot="1" x14ac:dyDescent="0.4">
      <c r="A5" s="49" t="s">
        <v>42</v>
      </c>
      <c r="B5" s="50" t="s">
        <v>43</v>
      </c>
      <c r="C5" s="51" t="s">
        <v>69</v>
      </c>
      <c r="D5" s="51"/>
      <c r="E5" s="49"/>
      <c r="F5" s="49" t="s">
        <v>42</v>
      </c>
      <c r="G5" s="49" t="s">
        <v>43</v>
      </c>
      <c r="H5" s="51" t="s">
        <v>69</v>
      </c>
      <c r="I5" s="51"/>
      <c r="K5" t="s">
        <v>78</v>
      </c>
      <c r="L5">
        <f>P5</f>
        <v>0.34585092814195417</v>
      </c>
      <c r="O5" s="60" t="s">
        <v>72</v>
      </c>
      <c r="P5" s="61">
        <f>_xlfn.COVARIANCE.S(D6:D110,I6:I110)/_xlfn.VAR.S(I6:I110)</f>
        <v>0.34585092814195417</v>
      </c>
    </row>
    <row r="6" spans="1:20" customFormat="1" ht="15.5" thickTop="1" thickBot="1" x14ac:dyDescent="0.4">
      <c r="A6" s="41">
        <v>45327</v>
      </c>
      <c r="B6" s="71">
        <v>252.8500061035156</v>
      </c>
      <c r="F6" s="42">
        <v>45327</v>
      </c>
      <c r="G6" s="13">
        <v>3719.19995117187</v>
      </c>
      <c r="K6" t="s">
        <v>77</v>
      </c>
      <c r="L6" s="23">
        <v>0.75</v>
      </c>
      <c r="O6" s="62" t="s">
        <v>45</v>
      </c>
      <c r="P6" s="63">
        <f>M30</f>
        <v>0.34585092814195434</v>
      </c>
    </row>
    <row r="7" spans="1:20" customFormat="1" x14ac:dyDescent="0.35">
      <c r="A7" s="41">
        <v>45334</v>
      </c>
      <c r="B7" s="71">
        <v>230.8500061035156</v>
      </c>
      <c r="D7" s="38">
        <f>B7/B6-1</f>
        <v>-8.7008105473382114E-2</v>
      </c>
      <c r="F7" s="42">
        <v>45334</v>
      </c>
      <c r="G7" s="13">
        <v>3693.30004882812</v>
      </c>
      <c r="I7" s="38">
        <f>G7/G6-1</f>
        <v>-6.9638370304853092E-3</v>
      </c>
    </row>
    <row r="8" spans="1:20" customFormat="1" x14ac:dyDescent="0.35">
      <c r="A8" s="41">
        <v>45341</v>
      </c>
      <c r="B8" s="71">
        <v>226.19999694824219</v>
      </c>
      <c r="D8" s="39">
        <f t="shared" ref="D8:D71" si="0">B8/B7-1</f>
        <v>-2.014298909391532E-2</v>
      </c>
      <c r="F8" s="42">
        <v>45341</v>
      </c>
      <c r="G8" s="13">
        <v>3840.55004882812</v>
      </c>
      <c r="I8" s="39">
        <f t="shared" ref="I8:I71" si="1">G8/G7-1</f>
        <v>3.98694928798764E-2</v>
      </c>
      <c r="K8" t="s">
        <v>79</v>
      </c>
      <c r="L8">
        <v>1</v>
      </c>
    </row>
    <row r="9" spans="1:20" customFormat="1" x14ac:dyDescent="0.35">
      <c r="A9" s="41">
        <v>45348</v>
      </c>
      <c r="B9" s="71">
        <v>229.75</v>
      </c>
      <c r="D9" s="39">
        <f t="shared" si="0"/>
        <v>1.5694089742052997E-2</v>
      </c>
      <c r="F9" s="42">
        <v>45348</v>
      </c>
      <c r="G9" s="13">
        <v>3884.14990234375</v>
      </c>
      <c r="I9" s="39">
        <f t="shared" si="1"/>
        <v>1.1352502365887363E-2</v>
      </c>
      <c r="K9" t="s">
        <v>76</v>
      </c>
      <c r="L9" s="8">
        <v>0.25</v>
      </c>
    </row>
    <row r="10" spans="1:20" customFormat="1" x14ac:dyDescent="0.35">
      <c r="A10" s="41">
        <v>45355</v>
      </c>
      <c r="B10" s="71">
        <v>225.3999938964844</v>
      </c>
      <c r="D10" s="39">
        <f t="shared" si="0"/>
        <v>-1.8933650069708818E-2</v>
      </c>
      <c r="F10" s="42">
        <v>45355</v>
      </c>
      <c r="G10" s="13">
        <v>3925.94995117187</v>
      </c>
      <c r="I10" s="39">
        <f t="shared" si="1"/>
        <v>1.0761698152508714E-2</v>
      </c>
    </row>
    <row r="11" spans="1:20" x14ac:dyDescent="0.35">
      <c r="A11" s="41">
        <v>45362</v>
      </c>
      <c r="B11" s="71">
        <v>207.3500061035156</v>
      </c>
      <c r="D11" s="39">
        <f t="shared" si="0"/>
        <v>-8.0079806041424839E-2</v>
      </c>
      <c r="F11" s="42">
        <v>45362</v>
      </c>
      <c r="G11" s="13">
        <v>3932.10009765625</v>
      </c>
      <c r="I11" s="39">
        <f t="shared" si="1"/>
        <v>1.5665371593807098E-3</v>
      </c>
      <c r="J11" s="36"/>
      <c r="K11" s="52" t="s">
        <v>80</v>
      </c>
      <c r="L11" s="53">
        <f>L6*L5+L9*L8</f>
        <v>0.50938819610646568</v>
      </c>
    </row>
    <row r="12" spans="1:20" x14ac:dyDescent="0.35">
      <c r="A12" s="41">
        <v>45369</v>
      </c>
      <c r="B12" s="71">
        <v>205.3500061035156</v>
      </c>
      <c r="D12" s="39">
        <f t="shared" si="0"/>
        <v>-9.6455266029822351E-3</v>
      </c>
      <c r="F12" s="42">
        <v>45369</v>
      </c>
      <c r="G12" s="13">
        <v>4297.60009765625</v>
      </c>
      <c r="H12" s="35"/>
      <c r="I12" s="39">
        <f t="shared" si="1"/>
        <v>9.2952872745497572E-2</v>
      </c>
      <c r="J12" s="36"/>
      <c r="K12" s="36"/>
    </row>
    <row r="13" spans="1:20" x14ac:dyDescent="0.35">
      <c r="A13" s="41">
        <v>45376</v>
      </c>
      <c r="B13" s="71">
        <v>205.55000305175781</v>
      </c>
      <c r="D13" s="39">
        <f t="shared" si="0"/>
        <v>9.7393202969464632E-4</v>
      </c>
      <c r="F13" s="42">
        <v>45376</v>
      </c>
      <c r="G13" s="13">
        <v>4525.60009765625</v>
      </c>
      <c r="H13" s="36"/>
      <c r="I13" s="39">
        <f t="shared" si="1"/>
        <v>5.3052865510763159E-2</v>
      </c>
      <c r="J13" s="36"/>
      <c r="K13" s="36"/>
      <c r="L13" t="s">
        <v>46</v>
      </c>
      <c r="M13"/>
      <c r="N13"/>
      <c r="O13"/>
      <c r="P13"/>
      <c r="Q13"/>
      <c r="R13"/>
      <c r="S13"/>
      <c r="T13"/>
    </row>
    <row r="14" spans="1:20" ht="15" thickBot="1" x14ac:dyDescent="0.4">
      <c r="A14" s="41">
        <v>45383</v>
      </c>
      <c r="B14" s="71">
        <v>237.3500061035156</v>
      </c>
      <c r="D14" s="39">
        <f t="shared" si="0"/>
        <v>0.15470689651972669</v>
      </c>
      <c r="F14" s="42">
        <v>45383</v>
      </c>
      <c r="G14" s="13">
        <v>4619.25</v>
      </c>
      <c r="H14" s="36"/>
      <c r="I14" s="39">
        <f t="shared" si="1"/>
        <v>2.0693366696772353E-2</v>
      </c>
      <c r="J14" s="36"/>
      <c r="K14" s="36"/>
      <c r="M14"/>
      <c r="N14"/>
      <c r="O14"/>
      <c r="P14"/>
      <c r="Q14"/>
      <c r="R14"/>
      <c r="S14"/>
      <c r="T14"/>
    </row>
    <row r="15" spans="1:20" x14ac:dyDescent="0.35">
      <c r="A15" s="41">
        <v>45390</v>
      </c>
      <c r="B15" s="71">
        <v>233.94999694824219</v>
      </c>
      <c r="D15" s="39">
        <f t="shared" si="0"/>
        <v>-1.4324874943506649E-2</v>
      </c>
      <c r="F15" s="42">
        <v>45390</v>
      </c>
      <c r="G15" s="13">
        <v>4765.0498046875</v>
      </c>
      <c r="H15" s="36"/>
      <c r="I15" s="39">
        <f t="shared" si="1"/>
        <v>3.1563523231585178E-2</v>
      </c>
      <c r="J15" s="36"/>
      <c r="K15" s="36"/>
      <c r="L15" s="46" t="s">
        <v>47</v>
      </c>
      <c r="M15" s="46"/>
      <c r="N15"/>
      <c r="O15"/>
      <c r="P15"/>
      <c r="Q15"/>
      <c r="R15"/>
      <c r="S15"/>
      <c r="T15"/>
    </row>
    <row r="16" spans="1:20" x14ac:dyDescent="0.35">
      <c r="A16" s="41">
        <v>45397</v>
      </c>
      <c r="B16" s="71">
        <v>231.55000305175781</v>
      </c>
      <c r="D16" s="39">
        <f t="shared" si="0"/>
        <v>-1.0258576310284484E-2</v>
      </c>
      <c r="F16" s="42">
        <v>45397</v>
      </c>
      <c r="G16" s="13">
        <v>4696</v>
      </c>
      <c r="H16" s="36"/>
      <c r="I16" s="39">
        <f t="shared" si="1"/>
        <v>-1.4490888346974651E-2</v>
      </c>
      <c r="J16" s="36"/>
      <c r="K16" s="36"/>
      <c r="L16" s="43" t="s">
        <v>48</v>
      </c>
      <c r="M16" s="43">
        <v>0.17980453536487431</v>
      </c>
      <c r="N16"/>
      <c r="O16"/>
      <c r="P16"/>
      <c r="Q16"/>
      <c r="R16"/>
      <c r="S16"/>
      <c r="T16"/>
    </row>
    <row r="17" spans="1:22" x14ac:dyDescent="0.35">
      <c r="A17" s="41">
        <v>45404</v>
      </c>
      <c r="B17" s="71">
        <v>268.54998779296881</v>
      </c>
      <c r="D17" s="39">
        <f t="shared" si="0"/>
        <v>0.15979263335591698</v>
      </c>
      <c r="F17" s="42">
        <v>45404</v>
      </c>
      <c r="G17" s="13">
        <v>4553.14990234375</v>
      </c>
      <c r="H17" s="36"/>
      <c r="I17" s="39">
        <f t="shared" si="1"/>
        <v>-3.0419526758145188E-2</v>
      </c>
      <c r="J17" s="36"/>
      <c r="K17" s="36"/>
      <c r="L17" s="43" t="s">
        <v>49</v>
      </c>
      <c r="M17" s="43">
        <v>3.2329670937778339E-2</v>
      </c>
      <c r="N17"/>
      <c r="O17"/>
      <c r="P17"/>
      <c r="Q17"/>
      <c r="R17"/>
      <c r="S17"/>
      <c r="T17"/>
    </row>
    <row r="18" spans="1:22" x14ac:dyDescent="0.35">
      <c r="A18" s="41">
        <v>45411</v>
      </c>
      <c r="B18" s="71">
        <v>254.1499938964844</v>
      </c>
      <c r="D18" s="39">
        <f t="shared" si="0"/>
        <v>-5.3621279281478418E-2</v>
      </c>
      <c r="F18" s="42">
        <v>45411</v>
      </c>
      <c r="G18" s="13">
        <v>4612.35009765625</v>
      </c>
      <c r="H18" s="36"/>
      <c r="I18" s="39">
        <f t="shared" si="1"/>
        <v>1.3002030809929233E-2</v>
      </c>
      <c r="J18" s="36"/>
      <c r="K18" s="36"/>
      <c r="L18" s="43" t="s">
        <v>50</v>
      </c>
      <c r="M18" s="43">
        <v>2.2842706927364401E-2</v>
      </c>
      <c r="N18"/>
      <c r="O18"/>
      <c r="P18"/>
      <c r="Q18"/>
      <c r="R18"/>
      <c r="S18"/>
      <c r="T18"/>
    </row>
    <row r="19" spans="1:22" x14ac:dyDescent="0.35">
      <c r="A19" s="41">
        <v>45418</v>
      </c>
      <c r="B19" s="71">
        <v>256.85000610351563</v>
      </c>
      <c r="D19" s="39">
        <f t="shared" si="0"/>
        <v>1.0623695738237737E-2</v>
      </c>
      <c r="F19" s="42">
        <v>45418</v>
      </c>
      <c r="G19" s="13">
        <v>4796.7998046875</v>
      </c>
      <c r="H19" s="36"/>
      <c r="I19" s="39">
        <f t="shared" si="1"/>
        <v>3.9990396029342401E-2</v>
      </c>
      <c r="J19" s="37"/>
      <c r="K19" s="37"/>
      <c r="L19" s="43" t="s">
        <v>51</v>
      </c>
      <c r="M19" s="43">
        <v>8.2549823926148305E-2</v>
      </c>
      <c r="N19"/>
      <c r="O19"/>
      <c r="P19"/>
      <c r="Q19"/>
      <c r="R19"/>
      <c r="S19"/>
      <c r="T19"/>
    </row>
    <row r="20" spans="1:22" ht="15" thickBot="1" x14ac:dyDescent="0.4">
      <c r="A20" s="41">
        <v>45425</v>
      </c>
      <c r="B20" s="71">
        <v>264.04998779296881</v>
      </c>
      <c r="D20" s="39">
        <f t="shared" si="0"/>
        <v>2.8031853293207343E-2</v>
      </c>
      <c r="F20" s="42">
        <v>45425</v>
      </c>
      <c r="G20" s="13">
        <v>4670.64990234375</v>
      </c>
      <c r="H20" s="37"/>
      <c r="I20" s="39">
        <f t="shared" si="1"/>
        <v>-2.6298763233869926E-2</v>
      </c>
      <c r="J20" s="36"/>
      <c r="K20" s="36"/>
      <c r="L20" s="44" t="s">
        <v>52</v>
      </c>
      <c r="M20" s="44">
        <v>104</v>
      </c>
      <c r="N20"/>
      <c r="O20"/>
      <c r="P20"/>
      <c r="Q20"/>
      <c r="R20"/>
      <c r="S20"/>
      <c r="T20"/>
    </row>
    <row r="21" spans="1:22" x14ac:dyDescent="0.35">
      <c r="A21" s="41">
        <v>45432</v>
      </c>
      <c r="B21" s="71">
        <v>290.04998779296881</v>
      </c>
      <c r="D21" s="39">
        <f t="shared" si="0"/>
        <v>9.8466204135504665E-2</v>
      </c>
      <c r="F21" s="42">
        <v>45432</v>
      </c>
      <c r="G21" s="13">
        <v>4684.5</v>
      </c>
      <c r="H21" s="36"/>
      <c r="I21" s="39">
        <f t="shared" si="1"/>
        <v>2.9653469957788836E-3</v>
      </c>
      <c r="J21" s="36"/>
      <c r="K21" s="36"/>
      <c r="M21"/>
      <c r="N21"/>
      <c r="O21"/>
      <c r="P21"/>
      <c r="Q21"/>
      <c r="R21"/>
      <c r="S21"/>
      <c r="T21"/>
    </row>
    <row r="22" spans="1:22" ht="15" thickBot="1" x14ac:dyDescent="0.4">
      <c r="A22" s="41">
        <v>45439</v>
      </c>
      <c r="B22" s="71">
        <v>287.64999389648438</v>
      </c>
      <c r="D22" s="39">
        <f t="shared" si="0"/>
        <v>-8.2744147474245189E-3</v>
      </c>
      <c r="F22" s="42">
        <v>45439</v>
      </c>
      <c r="G22" s="13">
        <v>4302.14990234375</v>
      </c>
      <c r="H22" s="36"/>
      <c r="I22" s="39">
        <f t="shared" si="1"/>
        <v>-8.1620257798324269E-2</v>
      </c>
      <c r="J22" s="36"/>
      <c r="K22" s="36"/>
      <c r="L22" t="s">
        <v>53</v>
      </c>
      <c r="M22"/>
      <c r="N22"/>
      <c r="O22"/>
      <c r="P22"/>
      <c r="Q22"/>
      <c r="R22"/>
      <c r="S22"/>
      <c r="T22"/>
    </row>
    <row r="23" spans="1:22" x14ac:dyDescent="0.35">
      <c r="A23" s="41">
        <v>45446</v>
      </c>
      <c r="B23" s="71">
        <v>324.20001220703119</v>
      </c>
      <c r="D23" s="39">
        <f t="shared" si="0"/>
        <v>0.12706420680022656</v>
      </c>
      <c r="F23" s="42">
        <v>45446</v>
      </c>
      <c r="G23" s="13">
        <v>4747.25</v>
      </c>
      <c r="H23" s="36"/>
      <c r="I23" s="39">
        <f t="shared" si="1"/>
        <v>0.10345992300588258</v>
      </c>
      <c r="J23" s="36"/>
      <c r="K23" s="36"/>
      <c r="L23" s="45"/>
      <c r="M23" s="45" t="s">
        <v>54</v>
      </c>
      <c r="N23" s="45" t="s">
        <v>55</v>
      </c>
      <c r="O23" s="45" t="s">
        <v>56</v>
      </c>
      <c r="P23" s="45" t="s">
        <v>57</v>
      </c>
      <c r="Q23" s="45" t="s">
        <v>58</v>
      </c>
      <c r="R23"/>
      <c r="S23"/>
      <c r="T23"/>
    </row>
    <row r="24" spans="1:22" x14ac:dyDescent="0.35">
      <c r="A24" s="41">
        <v>45453</v>
      </c>
      <c r="B24" s="71">
        <v>328.60000610351563</v>
      </c>
      <c r="D24" s="39">
        <f t="shared" si="0"/>
        <v>1.3571849879125297E-2</v>
      </c>
      <c r="F24" s="42">
        <v>45453</v>
      </c>
      <c r="G24" s="13">
        <v>4739.9501953125</v>
      </c>
      <c r="H24" s="36"/>
      <c r="I24" s="39">
        <f t="shared" si="1"/>
        <v>-1.5376912291326095E-3</v>
      </c>
      <c r="J24" s="37"/>
      <c r="K24" s="37"/>
      <c r="L24" s="43" t="s">
        <v>59</v>
      </c>
      <c r="M24" s="43">
        <v>1</v>
      </c>
      <c r="N24" s="43">
        <v>2.3222358951925481E-2</v>
      </c>
      <c r="O24" s="43">
        <v>2.3222358951925481E-2</v>
      </c>
      <c r="P24" s="43">
        <v>3.4077994711785276</v>
      </c>
      <c r="Q24" s="43">
        <v>6.7788955435447967E-2</v>
      </c>
      <c r="R24"/>
      <c r="S24"/>
      <c r="T24"/>
    </row>
    <row r="25" spans="1:22" x14ac:dyDescent="0.35">
      <c r="A25" s="41">
        <v>45460</v>
      </c>
      <c r="B25" s="71">
        <v>314.89999389648438</v>
      </c>
      <c r="D25" s="39">
        <f t="shared" si="0"/>
        <v>-4.1692063154482928E-2</v>
      </c>
      <c r="F25" s="42">
        <v>45460</v>
      </c>
      <c r="G25" s="13">
        <v>4804.85009765625</v>
      </c>
      <c r="H25" s="37"/>
      <c r="I25" s="39">
        <f t="shared" si="1"/>
        <v>1.3692106387094949E-2</v>
      </c>
      <c r="J25" s="36"/>
      <c r="K25" s="36"/>
      <c r="L25" s="43" t="s">
        <v>60</v>
      </c>
      <c r="M25" s="43">
        <v>102</v>
      </c>
      <c r="N25" s="43">
        <v>0.69507628988428494</v>
      </c>
      <c r="O25" s="43">
        <v>6.8144734302380879E-3</v>
      </c>
      <c r="P25" s="43"/>
      <c r="Q25" s="43"/>
      <c r="R25"/>
      <c r="S25"/>
      <c r="T25"/>
    </row>
    <row r="26" spans="1:22" ht="15" thickBot="1" x14ac:dyDescent="0.4">
      <c r="A26" s="41">
        <v>45467</v>
      </c>
      <c r="B26" s="71">
        <v>312.14999389648438</v>
      </c>
      <c r="D26" s="39">
        <f t="shared" si="0"/>
        <v>-8.732931258499832E-3</v>
      </c>
      <c r="F26" s="42">
        <v>45467</v>
      </c>
      <c r="G26" s="13">
        <v>4716.75</v>
      </c>
      <c r="H26" s="36"/>
      <c r="I26" s="39">
        <f t="shared" si="1"/>
        <v>-1.8335659982238406E-2</v>
      </c>
      <c r="J26" s="36"/>
      <c r="K26" s="36"/>
      <c r="L26" s="44" t="s">
        <v>61</v>
      </c>
      <c r="M26" s="44">
        <v>103</v>
      </c>
      <c r="N26" s="44">
        <v>0.71829864883621042</v>
      </c>
      <c r="O26" s="44"/>
      <c r="P26" s="44"/>
      <c r="Q26" s="44"/>
      <c r="R26"/>
      <c r="S26"/>
      <c r="T26"/>
      <c r="U26" s="74"/>
      <c r="V26" s="74"/>
    </row>
    <row r="27" spans="1:22" ht="15" thickBot="1" x14ac:dyDescent="0.4">
      <c r="A27" s="41">
        <v>45474</v>
      </c>
      <c r="B27" s="71">
        <v>327.64999389648438</v>
      </c>
      <c r="D27" s="39">
        <f t="shared" si="0"/>
        <v>4.9655615258926256E-2</v>
      </c>
      <c r="F27" s="42">
        <v>45474</v>
      </c>
      <c r="G27" s="13">
        <v>4853.10009765625</v>
      </c>
      <c r="H27" s="36"/>
      <c r="I27" s="39">
        <f t="shared" si="1"/>
        <v>2.8907637177346679E-2</v>
      </c>
      <c r="J27" s="36"/>
      <c r="K27" s="36"/>
      <c r="M27"/>
      <c r="N27"/>
      <c r="O27"/>
      <c r="P27"/>
      <c r="Q27"/>
      <c r="R27"/>
      <c r="S27"/>
      <c r="T27"/>
      <c r="U27" s="43"/>
      <c r="V27" s="43"/>
    </row>
    <row r="28" spans="1:22" x14ac:dyDescent="0.35">
      <c r="A28" s="41">
        <v>45481</v>
      </c>
      <c r="B28" s="71">
        <v>323.20001220703119</v>
      </c>
      <c r="D28" s="39">
        <f t="shared" si="0"/>
        <v>-1.3581510063629287E-2</v>
      </c>
      <c r="F28" s="42">
        <v>45481</v>
      </c>
      <c r="G28" s="13">
        <v>4943.64990234375</v>
      </c>
      <c r="H28" s="36"/>
      <c r="I28" s="39">
        <f t="shared" si="1"/>
        <v>1.8658136627190069E-2</v>
      </c>
      <c r="J28" s="36"/>
      <c r="K28" s="36"/>
      <c r="L28" s="45"/>
      <c r="M28" s="45" t="s">
        <v>62</v>
      </c>
      <c r="N28" s="45" t="s">
        <v>51</v>
      </c>
      <c r="O28" s="45" t="s">
        <v>63</v>
      </c>
      <c r="P28" s="45" t="s">
        <v>64</v>
      </c>
      <c r="Q28" s="45" t="s">
        <v>65</v>
      </c>
      <c r="R28" s="45" t="s">
        <v>66</v>
      </c>
      <c r="S28" s="45" t="s">
        <v>70</v>
      </c>
      <c r="T28" s="45" t="s">
        <v>71</v>
      </c>
      <c r="U28" s="43"/>
      <c r="V28" s="43"/>
    </row>
    <row r="29" spans="1:22" x14ac:dyDescent="0.35">
      <c r="A29" s="41">
        <v>45488</v>
      </c>
      <c r="B29" s="71">
        <v>315.60000610351563</v>
      </c>
      <c r="D29" s="39">
        <f t="shared" si="0"/>
        <v>-2.3514869481648604E-2</v>
      </c>
      <c r="F29" s="42">
        <v>45488</v>
      </c>
      <c r="G29" s="13">
        <v>5010.7001953125</v>
      </c>
      <c r="H29" s="36"/>
      <c r="I29" s="39">
        <f t="shared" si="1"/>
        <v>1.3562912886885936E-2</v>
      </c>
      <c r="L29" s="43" t="s">
        <v>67</v>
      </c>
      <c r="M29" s="43">
        <v>-7.301192838461033E-3</v>
      </c>
      <c r="N29" s="43">
        <v>8.0985890552137882E-3</v>
      </c>
      <c r="O29" s="43">
        <v>-0.90153887160882673</v>
      </c>
      <c r="P29" s="43">
        <v>0.36942573887188668</v>
      </c>
      <c r="Q29" s="43">
        <v>-2.3364705830526827E-2</v>
      </c>
      <c r="R29" s="43">
        <v>8.7623201536047596E-3</v>
      </c>
      <c r="S29" s="43">
        <v>-2.3364705830526827E-2</v>
      </c>
      <c r="T29" s="43">
        <v>8.7623201536047596E-3</v>
      </c>
    </row>
    <row r="30" spans="1:22" ht="15" thickBot="1" x14ac:dyDescent="0.4">
      <c r="A30" s="41">
        <v>45495</v>
      </c>
      <c r="B30" s="71">
        <v>330</v>
      </c>
      <c r="D30" s="39">
        <f t="shared" si="0"/>
        <v>4.5627356204046565E-2</v>
      </c>
      <c r="F30" s="42">
        <v>45495</v>
      </c>
      <c r="G30" s="13">
        <v>5071.60009765625</v>
      </c>
      <c r="I30" s="39">
        <f t="shared" si="1"/>
        <v>1.2153970497121636E-2</v>
      </c>
      <c r="L30" s="44" t="s">
        <v>68</v>
      </c>
      <c r="M30" s="44">
        <v>0.34585092814195434</v>
      </c>
      <c r="N30" s="44">
        <v>0.18734923751483454</v>
      </c>
      <c r="O30" s="44">
        <v>1.8460226085231302</v>
      </c>
      <c r="P30" s="44">
        <v>6.7788955435447967E-2</v>
      </c>
      <c r="Q30" s="44">
        <v>-2.5755396164091005E-2</v>
      </c>
      <c r="R30" s="44">
        <v>0.71745725244799963</v>
      </c>
      <c r="S30" s="44">
        <v>-2.5755396164091005E-2</v>
      </c>
      <c r="T30" s="44">
        <v>0.71745725244799963</v>
      </c>
    </row>
    <row r="31" spans="1:22" x14ac:dyDescent="0.35">
      <c r="A31" s="41">
        <v>45502</v>
      </c>
      <c r="B31" s="71">
        <v>335.5</v>
      </c>
      <c r="D31" s="39">
        <f t="shared" si="0"/>
        <v>1.6666666666666607E-2</v>
      </c>
      <c r="F31" s="42">
        <v>45502</v>
      </c>
      <c r="G31" s="13">
        <v>4909.7001953125</v>
      </c>
      <c r="I31" s="39">
        <f t="shared" si="1"/>
        <v>-3.1922844709023734E-2</v>
      </c>
      <c r="M31"/>
      <c r="N31"/>
      <c r="O31"/>
      <c r="P31"/>
      <c r="Q31"/>
      <c r="R31"/>
      <c r="S31"/>
      <c r="T31"/>
    </row>
    <row r="32" spans="1:22" x14ac:dyDescent="0.35">
      <c r="A32" s="41">
        <v>45509</v>
      </c>
      <c r="B32" s="71">
        <v>324.70001220703119</v>
      </c>
      <c r="D32" s="39">
        <f t="shared" si="0"/>
        <v>-3.2190723675018851E-2</v>
      </c>
      <c r="F32" s="42">
        <v>45509</v>
      </c>
      <c r="G32" s="13">
        <v>4989.9501953125</v>
      </c>
      <c r="I32" s="39">
        <f t="shared" si="1"/>
        <v>1.6345193557158133E-2</v>
      </c>
      <c r="M32"/>
      <c r="N32"/>
      <c r="O32"/>
      <c r="P32"/>
      <c r="Q32"/>
      <c r="R32"/>
      <c r="S32"/>
      <c r="T32"/>
    </row>
    <row r="33" spans="1:20" x14ac:dyDescent="0.35">
      <c r="A33" s="41">
        <v>45516</v>
      </c>
      <c r="B33" s="71">
        <v>319.45001220703119</v>
      </c>
      <c r="D33" s="39">
        <f t="shared" si="0"/>
        <v>-1.6168770565529123E-2</v>
      </c>
      <c r="F33" s="42">
        <v>45516</v>
      </c>
      <c r="G33" s="13">
        <v>5021.2998046875</v>
      </c>
      <c r="I33" s="39">
        <f t="shared" si="1"/>
        <v>6.2825495541918297E-3</v>
      </c>
      <c r="M33"/>
      <c r="N33"/>
      <c r="O33"/>
      <c r="P33"/>
      <c r="Q33"/>
      <c r="R33"/>
      <c r="S33"/>
      <c r="T33"/>
    </row>
    <row r="34" spans="1:20" x14ac:dyDescent="0.35">
      <c r="A34" s="41">
        <v>45523</v>
      </c>
      <c r="B34" s="71">
        <v>319.5</v>
      </c>
      <c r="D34" s="39">
        <f t="shared" si="0"/>
        <v>1.5648079843044727E-4</v>
      </c>
      <c r="F34" s="42">
        <v>45523</v>
      </c>
      <c r="G34" s="13">
        <v>4901.5</v>
      </c>
      <c r="I34" s="39">
        <f t="shared" si="1"/>
        <v>-2.3858325403247949E-2</v>
      </c>
    </row>
    <row r="35" spans="1:20" x14ac:dyDescent="0.35">
      <c r="A35" s="41">
        <v>45530</v>
      </c>
      <c r="B35" s="71">
        <v>311.70001220703119</v>
      </c>
      <c r="D35" s="39">
        <f t="shared" si="0"/>
        <v>-2.4413107333235651E-2</v>
      </c>
      <c r="F35" s="42">
        <v>45530</v>
      </c>
      <c r="G35" s="13">
        <v>4927.4501953125</v>
      </c>
      <c r="I35" s="39">
        <f t="shared" si="1"/>
        <v>5.2943375114760105E-3</v>
      </c>
    </row>
    <row r="36" spans="1:20" x14ac:dyDescent="0.35">
      <c r="A36" s="41">
        <v>45537</v>
      </c>
      <c r="B36" s="71">
        <v>309.14999389648438</v>
      </c>
      <c r="D36" s="39">
        <f t="shared" si="0"/>
        <v>-8.1810016383736528E-3</v>
      </c>
      <c r="F36" s="42">
        <v>45537</v>
      </c>
      <c r="G36" s="13">
        <v>5303.4501953125</v>
      </c>
      <c r="I36" s="39">
        <f t="shared" si="1"/>
        <v>7.6307214704613324E-2</v>
      </c>
    </row>
    <row r="37" spans="1:20" x14ac:dyDescent="0.35">
      <c r="A37" s="41">
        <v>45544</v>
      </c>
      <c r="B37" s="71">
        <v>328.54998779296881</v>
      </c>
      <c r="D37" s="39">
        <f t="shared" si="0"/>
        <v>6.2752690536944655E-2</v>
      </c>
      <c r="F37" s="42">
        <v>45544</v>
      </c>
      <c r="G37" s="13">
        <v>5187.0498046875</v>
      </c>
      <c r="I37" s="39">
        <f t="shared" si="1"/>
        <v>-2.1948050106679884E-2</v>
      </c>
    </row>
    <row r="38" spans="1:20" x14ac:dyDescent="0.35">
      <c r="A38" s="41">
        <v>45551</v>
      </c>
      <c r="B38" s="71">
        <v>327.75</v>
      </c>
      <c r="D38" s="39">
        <f t="shared" si="0"/>
        <v>-2.4349043454322539E-3</v>
      </c>
      <c r="F38" s="42">
        <v>45551</v>
      </c>
      <c r="G38" s="13">
        <v>5320.5498046875</v>
      </c>
      <c r="I38" s="39">
        <f t="shared" si="1"/>
        <v>2.5737173350322662E-2</v>
      </c>
    </row>
    <row r="39" spans="1:20" x14ac:dyDescent="0.35">
      <c r="A39" s="41">
        <v>45558</v>
      </c>
      <c r="B39" s="71">
        <v>352.10000610351563</v>
      </c>
      <c r="D39" s="39">
        <f t="shared" si="0"/>
        <v>7.4294450353975972E-2</v>
      </c>
      <c r="F39" s="42">
        <v>45558</v>
      </c>
      <c r="G39" s="13">
        <v>5102.2998046875</v>
      </c>
      <c r="I39" s="39">
        <f t="shared" si="1"/>
        <v>-4.1020196786376806E-2</v>
      </c>
    </row>
    <row r="40" spans="1:20" x14ac:dyDescent="0.35">
      <c r="A40" s="41">
        <v>45565</v>
      </c>
      <c r="B40" s="71">
        <v>333</v>
      </c>
      <c r="D40" s="39">
        <f t="shared" si="0"/>
        <v>-5.4245969248578496E-2</v>
      </c>
      <c r="F40" s="42">
        <v>45565</v>
      </c>
      <c r="G40" s="13">
        <v>4737.5498046875</v>
      </c>
      <c r="I40" s="39">
        <f t="shared" si="1"/>
        <v>-7.1487371178170056E-2</v>
      </c>
    </row>
    <row r="41" spans="1:20" x14ac:dyDescent="0.35">
      <c r="A41" s="41">
        <v>45572</v>
      </c>
      <c r="B41" s="71">
        <v>340.25</v>
      </c>
      <c r="D41" s="39">
        <f t="shared" si="0"/>
        <v>2.1771771771771808E-2</v>
      </c>
      <c r="F41" s="42">
        <v>45572</v>
      </c>
      <c r="G41" s="13">
        <v>4572.7001953125</v>
      </c>
      <c r="I41" s="39">
        <f t="shared" si="1"/>
        <v>-3.4796385509634487E-2</v>
      </c>
    </row>
    <row r="42" spans="1:20" x14ac:dyDescent="0.35">
      <c r="A42" s="41">
        <v>45579</v>
      </c>
      <c r="B42" s="71">
        <v>334.04998779296881</v>
      </c>
      <c r="D42" s="39">
        <f t="shared" si="0"/>
        <v>-1.822193154160523E-2</v>
      </c>
      <c r="F42" s="42">
        <v>45579</v>
      </c>
      <c r="G42" s="13">
        <v>3986.69995117187</v>
      </c>
      <c r="I42" s="39">
        <f t="shared" si="1"/>
        <v>-0.12815190568175494</v>
      </c>
    </row>
    <row r="43" spans="1:20" x14ac:dyDescent="0.35">
      <c r="A43" s="41">
        <v>45586</v>
      </c>
      <c r="B43" s="71">
        <v>300.29998779296881</v>
      </c>
      <c r="D43" s="39">
        <f t="shared" si="0"/>
        <v>-0.10103278321601661</v>
      </c>
      <c r="F43" s="42">
        <v>45586</v>
      </c>
      <c r="G43" s="13">
        <v>4052.19995117187</v>
      </c>
      <c r="I43" s="39">
        <f t="shared" si="1"/>
        <v>1.6429628716037925E-2</v>
      </c>
    </row>
    <row r="44" spans="1:20" x14ac:dyDescent="0.35">
      <c r="A44" s="41">
        <v>45593</v>
      </c>
      <c r="B44" s="71">
        <v>314.04998779296881</v>
      </c>
      <c r="D44" s="39">
        <f t="shared" si="0"/>
        <v>4.5787547648784566E-2</v>
      </c>
      <c r="F44" s="42">
        <v>45593</v>
      </c>
      <c r="G44" s="13">
        <v>4001.60009765625</v>
      </c>
      <c r="I44" s="39">
        <f t="shared" si="1"/>
        <v>-1.2487008075943273E-2</v>
      </c>
    </row>
    <row r="45" spans="1:20" x14ac:dyDescent="0.35">
      <c r="A45" s="41">
        <v>45600</v>
      </c>
      <c r="B45" s="71">
        <v>297.14999389648438</v>
      </c>
      <c r="D45" s="39">
        <f t="shared" si="0"/>
        <v>-5.3813069744888531E-2</v>
      </c>
      <c r="F45" s="42">
        <v>45600</v>
      </c>
      <c r="G45" s="13">
        <v>3874.5</v>
      </c>
      <c r="I45" s="39">
        <f t="shared" si="1"/>
        <v>-3.1762318711130777E-2</v>
      </c>
    </row>
    <row r="46" spans="1:20" x14ac:dyDescent="0.35">
      <c r="A46" s="41">
        <v>45607</v>
      </c>
      <c r="B46" s="71">
        <v>288.70001220703119</v>
      </c>
      <c r="D46" s="39">
        <f t="shared" si="0"/>
        <v>-2.8436755386227031E-2</v>
      </c>
      <c r="F46" s="42">
        <v>45607</v>
      </c>
      <c r="G46" s="13">
        <v>3823.85009765625</v>
      </c>
      <c r="I46" s="39">
        <f t="shared" si="1"/>
        <v>-1.3072629331204011E-2</v>
      </c>
    </row>
    <row r="47" spans="1:20" x14ac:dyDescent="0.35">
      <c r="A47" s="41">
        <v>45614</v>
      </c>
      <c r="B47" s="71">
        <v>288.54998779296881</v>
      </c>
      <c r="D47" s="39">
        <f t="shared" si="0"/>
        <v>-5.1965503193263096E-4</v>
      </c>
      <c r="F47" s="42">
        <v>45614</v>
      </c>
      <c r="G47" s="13">
        <v>3613.64990234375</v>
      </c>
      <c r="I47" s="39">
        <f t="shared" si="1"/>
        <v>-5.4970825200846063E-2</v>
      </c>
    </row>
    <row r="48" spans="1:20" x14ac:dyDescent="0.35">
      <c r="A48" s="41">
        <v>45621</v>
      </c>
      <c r="B48" s="71">
        <v>313.75</v>
      </c>
      <c r="D48" s="39">
        <f t="shared" si="0"/>
        <v>8.7333263812549244E-2</v>
      </c>
      <c r="F48" s="42">
        <v>45621</v>
      </c>
      <c r="G48" s="13">
        <v>3709.60009765625</v>
      </c>
      <c r="I48" s="39">
        <f t="shared" si="1"/>
        <v>2.6552155827344714E-2</v>
      </c>
    </row>
    <row r="49" spans="1:9" x14ac:dyDescent="0.35">
      <c r="A49" s="41">
        <v>45628</v>
      </c>
      <c r="B49" s="71">
        <v>307.20001220703119</v>
      </c>
      <c r="D49" s="39">
        <f t="shared" si="0"/>
        <v>-2.0876455117032067E-2</v>
      </c>
      <c r="F49" s="42">
        <v>45628</v>
      </c>
      <c r="G49" s="13">
        <v>3805.55004882812</v>
      </c>
      <c r="I49" s="39">
        <f t="shared" si="1"/>
        <v>2.5865308563176814E-2</v>
      </c>
    </row>
    <row r="50" spans="1:9" x14ac:dyDescent="0.35">
      <c r="A50" s="41">
        <v>45635</v>
      </c>
      <c r="B50" s="71">
        <v>301.35000610351563</v>
      </c>
      <c r="D50" s="39">
        <f t="shared" si="0"/>
        <v>-1.9042987861514371E-2</v>
      </c>
      <c r="F50" s="42">
        <v>45635</v>
      </c>
      <c r="G50" s="13">
        <v>3652.30004882812</v>
      </c>
      <c r="I50" s="39">
        <f t="shared" si="1"/>
        <v>-4.0270131264517617E-2</v>
      </c>
    </row>
    <row r="51" spans="1:9" x14ac:dyDescent="0.35">
      <c r="A51" s="41">
        <v>45642</v>
      </c>
      <c r="B51" s="71">
        <v>282.20001220703119</v>
      </c>
      <c r="D51" s="39">
        <f t="shared" si="0"/>
        <v>-6.354734862658773E-2</v>
      </c>
      <c r="F51" s="42">
        <v>45642</v>
      </c>
      <c r="G51" s="13">
        <v>3408.30004882812</v>
      </c>
      <c r="I51" s="39">
        <f t="shared" si="1"/>
        <v>-6.6807216476721276E-2</v>
      </c>
    </row>
    <row r="52" spans="1:9" x14ac:dyDescent="0.35">
      <c r="A52" s="41">
        <v>45649</v>
      </c>
      <c r="B52" s="71">
        <v>282</v>
      </c>
      <c r="D52" s="39">
        <f t="shared" si="0"/>
        <v>-7.087604478360765E-4</v>
      </c>
      <c r="F52" s="42">
        <v>45649</v>
      </c>
      <c r="G52" s="13">
        <v>3568.35009765625</v>
      </c>
      <c r="I52" s="39">
        <f t="shared" si="1"/>
        <v>4.6958908117012754E-2</v>
      </c>
    </row>
    <row r="53" spans="1:9" x14ac:dyDescent="0.35">
      <c r="A53" s="41">
        <v>45656</v>
      </c>
      <c r="B53" s="71">
        <v>280.75</v>
      </c>
      <c r="D53" s="39">
        <f t="shared" si="0"/>
        <v>-4.4326241134752253E-3</v>
      </c>
      <c r="F53" s="42">
        <v>45656</v>
      </c>
      <c r="G53" s="13">
        <v>4025.19995117187</v>
      </c>
      <c r="I53" s="39">
        <f t="shared" si="1"/>
        <v>0.12802831589189823</v>
      </c>
    </row>
    <row r="54" spans="1:9" x14ac:dyDescent="0.35">
      <c r="A54" s="41">
        <v>45663</v>
      </c>
      <c r="B54" s="71">
        <v>274.10000610351563</v>
      </c>
      <c r="D54" s="39">
        <f t="shared" si="0"/>
        <v>-2.3686532133515126E-2</v>
      </c>
      <c r="F54" s="42">
        <v>45663</v>
      </c>
      <c r="G54" s="13">
        <v>3686.25</v>
      </c>
      <c r="I54" s="39">
        <f t="shared" si="1"/>
        <v>-8.4206984816540653E-2</v>
      </c>
    </row>
    <row r="55" spans="1:9" x14ac:dyDescent="0.35">
      <c r="A55" s="41">
        <v>45670</v>
      </c>
      <c r="B55" s="71">
        <v>274.70001220703119</v>
      </c>
      <c r="D55" s="39">
        <f t="shared" si="0"/>
        <v>2.1890043420464966E-3</v>
      </c>
      <c r="F55" s="42">
        <v>45670</v>
      </c>
      <c r="G55" s="13">
        <v>3620.64990234375</v>
      </c>
      <c r="I55" s="39">
        <f t="shared" si="1"/>
        <v>-1.779588949643951E-2</v>
      </c>
    </row>
    <row r="56" spans="1:9" x14ac:dyDescent="0.35">
      <c r="A56" s="41">
        <v>45677</v>
      </c>
      <c r="B56" s="71">
        <v>271.89999389648438</v>
      </c>
      <c r="D56" s="39">
        <f t="shared" si="0"/>
        <v>-1.0193003953842372E-2</v>
      </c>
      <c r="F56" s="42">
        <v>45677</v>
      </c>
      <c r="G56" s="13">
        <v>3579.94995117187</v>
      </c>
      <c r="I56" s="39">
        <f t="shared" si="1"/>
        <v>-1.1241062314678252E-2</v>
      </c>
    </row>
    <row r="57" spans="1:9" x14ac:dyDescent="0.35">
      <c r="A57" s="41">
        <v>45684</v>
      </c>
      <c r="B57" s="71">
        <v>283.25</v>
      </c>
      <c r="D57" s="39">
        <f t="shared" si="0"/>
        <v>4.1743311358207302E-2</v>
      </c>
      <c r="F57" s="42">
        <v>45684</v>
      </c>
      <c r="G57" s="13">
        <v>4023.75</v>
      </c>
      <c r="I57" s="39">
        <f t="shared" si="1"/>
        <v>0.12396822717671108</v>
      </c>
    </row>
    <row r="58" spans="1:9" x14ac:dyDescent="0.35">
      <c r="A58" s="41">
        <v>45691</v>
      </c>
      <c r="B58" s="71">
        <v>275.60000610351563</v>
      </c>
      <c r="D58" s="39">
        <f t="shared" si="0"/>
        <v>-2.7007921964640302E-2</v>
      </c>
      <c r="F58" s="42">
        <v>45691</v>
      </c>
      <c r="G58" s="13">
        <v>3743.5</v>
      </c>
      <c r="I58" s="39">
        <f t="shared" si="1"/>
        <v>-6.964895930413173E-2</v>
      </c>
    </row>
    <row r="59" spans="1:9" x14ac:dyDescent="0.35">
      <c r="A59" s="41">
        <v>45698</v>
      </c>
      <c r="B59" s="71">
        <v>247.6000061035156</v>
      </c>
      <c r="D59" s="39">
        <f t="shared" si="0"/>
        <v>-0.10159651444087126</v>
      </c>
      <c r="F59" s="42">
        <v>45698</v>
      </c>
      <c r="G59" s="13">
        <v>3682.64990234375</v>
      </c>
      <c r="I59" s="39">
        <f t="shared" si="1"/>
        <v>-1.6254867812541707E-2</v>
      </c>
    </row>
    <row r="60" spans="1:9" x14ac:dyDescent="0.35">
      <c r="A60" s="41">
        <v>45705</v>
      </c>
      <c r="B60" s="71">
        <v>250.6000061035156</v>
      </c>
      <c r="D60" s="39">
        <f t="shared" si="0"/>
        <v>1.2116316341065803E-2</v>
      </c>
      <c r="F60" s="42">
        <v>45705</v>
      </c>
      <c r="G60" s="13">
        <v>3596.69995117187</v>
      </c>
      <c r="I60" s="39">
        <f t="shared" si="1"/>
        <v>-2.333915888045146E-2</v>
      </c>
    </row>
    <row r="61" spans="1:9" x14ac:dyDescent="0.35">
      <c r="A61" s="41">
        <v>45712</v>
      </c>
      <c r="B61" s="71">
        <v>242.1499938964844</v>
      </c>
      <c r="D61" s="39">
        <f t="shared" si="0"/>
        <v>-3.3719122111835587E-2</v>
      </c>
      <c r="F61" s="42">
        <v>45712</v>
      </c>
      <c r="G61" s="13">
        <v>3403.94995117187</v>
      </c>
      <c r="I61" s="39">
        <f t="shared" si="1"/>
        <v>-5.3590792286467681E-2</v>
      </c>
    </row>
    <row r="62" spans="1:9" x14ac:dyDescent="0.35">
      <c r="A62" s="41">
        <v>45719</v>
      </c>
      <c r="B62" s="71">
        <v>242.30999755859381</v>
      </c>
      <c r="D62" s="39">
        <f t="shared" si="0"/>
        <v>6.6076261054037744E-4</v>
      </c>
      <c r="F62" s="42">
        <v>45719</v>
      </c>
      <c r="G62" s="13">
        <v>3593.60009765625</v>
      </c>
      <c r="I62" s="39">
        <f t="shared" si="1"/>
        <v>5.5714728243607015E-2</v>
      </c>
    </row>
    <row r="63" spans="1:9" x14ac:dyDescent="0.35">
      <c r="A63" s="41">
        <v>45726</v>
      </c>
      <c r="B63" s="71">
        <v>240.05000305175781</v>
      </c>
      <c r="D63" s="39">
        <f t="shared" si="0"/>
        <v>-9.3268727233984938E-3</v>
      </c>
      <c r="F63" s="42">
        <v>45726</v>
      </c>
      <c r="G63" s="13">
        <v>3797.10009765625</v>
      </c>
      <c r="I63" s="39">
        <f t="shared" si="1"/>
        <v>5.6628449039926032E-2</v>
      </c>
    </row>
    <row r="64" spans="1:9" x14ac:dyDescent="0.35">
      <c r="A64" s="41">
        <v>45733</v>
      </c>
      <c r="B64" s="71">
        <v>253.25999450683591</v>
      </c>
      <c r="D64" s="39">
        <f t="shared" si="0"/>
        <v>5.5030165745217019E-2</v>
      </c>
      <c r="F64" s="42">
        <v>45733</v>
      </c>
      <c r="G64" s="13">
        <v>3892.19995117187</v>
      </c>
      <c r="I64" s="39">
        <f t="shared" si="1"/>
        <v>2.504539018455687E-2</v>
      </c>
    </row>
    <row r="65" spans="1:9" x14ac:dyDescent="0.35">
      <c r="A65" s="41">
        <v>45740</v>
      </c>
      <c r="B65" s="71">
        <v>256.26998901367188</v>
      </c>
      <c r="D65" s="39">
        <f t="shared" si="0"/>
        <v>1.1884997915668549E-2</v>
      </c>
      <c r="F65" s="42">
        <v>45740</v>
      </c>
      <c r="G65" s="13">
        <v>4083.19995117187</v>
      </c>
      <c r="I65" s="39">
        <f t="shared" si="1"/>
        <v>4.9072504597944322E-2</v>
      </c>
    </row>
    <row r="66" spans="1:9" x14ac:dyDescent="0.35">
      <c r="A66" s="41">
        <v>45747</v>
      </c>
      <c r="B66" s="71">
        <v>258.29998779296881</v>
      </c>
      <c r="D66" s="39">
        <f t="shared" si="0"/>
        <v>7.9213285453749727E-3</v>
      </c>
      <c r="F66" s="42">
        <v>45747</v>
      </c>
      <c r="G66" s="13">
        <v>4039.89990234375</v>
      </c>
      <c r="I66" s="39">
        <f t="shared" si="1"/>
        <v>-1.0604439984794989E-2</v>
      </c>
    </row>
    <row r="67" spans="1:9" x14ac:dyDescent="0.35">
      <c r="A67" s="41">
        <v>45754</v>
      </c>
      <c r="B67" s="71">
        <v>254</v>
      </c>
      <c r="D67" s="39">
        <f t="shared" si="0"/>
        <v>-1.6647262857849232E-2</v>
      </c>
      <c r="F67" s="42">
        <v>45754</v>
      </c>
      <c r="G67" s="13">
        <v>4131.5</v>
      </c>
      <c r="I67" s="39">
        <f t="shared" si="1"/>
        <v>2.2673853281143908E-2</v>
      </c>
    </row>
    <row r="68" spans="1:9" x14ac:dyDescent="0.35">
      <c r="A68" s="41">
        <v>45761</v>
      </c>
      <c r="B68" s="71">
        <v>266.20001220703119</v>
      </c>
      <c r="D68" s="39">
        <f t="shared" si="0"/>
        <v>4.8031544122170144E-2</v>
      </c>
      <c r="F68" s="42">
        <v>45761</v>
      </c>
      <c r="G68" s="13">
        <v>4357.10009765625</v>
      </c>
      <c r="I68" s="39">
        <f t="shared" si="1"/>
        <v>5.4604888698112086E-2</v>
      </c>
    </row>
    <row r="69" spans="1:9" x14ac:dyDescent="0.35">
      <c r="A69" s="41">
        <v>45768</v>
      </c>
      <c r="B69" s="71">
        <v>264.14999389648438</v>
      </c>
      <c r="D69" s="39">
        <f t="shared" si="0"/>
        <v>-7.7010451410214342E-3</v>
      </c>
      <c r="F69" s="42">
        <v>45768</v>
      </c>
      <c r="G69" s="13">
        <v>4375.2001953125</v>
      </c>
      <c r="I69" s="39">
        <f t="shared" si="1"/>
        <v>4.154161541064072E-3</v>
      </c>
    </row>
    <row r="70" spans="1:9" x14ac:dyDescent="0.35">
      <c r="A70" s="41">
        <v>45775</v>
      </c>
      <c r="B70" s="71">
        <v>256.45001220703119</v>
      </c>
      <c r="D70" s="39">
        <f t="shared" si="0"/>
        <v>-2.9150035462316426E-2</v>
      </c>
      <c r="F70" s="42">
        <v>45775</v>
      </c>
      <c r="G70" s="13">
        <v>4042.19995117187</v>
      </c>
      <c r="I70" s="39">
        <f t="shared" si="1"/>
        <v>-7.6110858766508471E-2</v>
      </c>
    </row>
    <row r="71" spans="1:9" x14ac:dyDescent="0.35">
      <c r="A71" s="41">
        <v>45782</v>
      </c>
      <c r="B71" s="71">
        <v>253.8999938964844</v>
      </c>
      <c r="D71" s="39">
        <f t="shared" si="0"/>
        <v>-9.9435296906446036E-3</v>
      </c>
      <c r="F71" s="42">
        <v>45782</v>
      </c>
      <c r="G71" s="13">
        <v>3972.39990234375</v>
      </c>
      <c r="I71" s="39">
        <f t="shared" si="1"/>
        <v>-1.7267836740209819E-2</v>
      </c>
    </row>
    <row r="72" spans="1:9" x14ac:dyDescent="0.35">
      <c r="A72" s="41">
        <v>45789</v>
      </c>
      <c r="B72" s="71">
        <v>278.10000610351563</v>
      </c>
      <c r="D72" s="39">
        <f t="shared" ref="D72:D110" si="2">B72/B71-1</f>
        <v>9.5313165769108421E-2</v>
      </c>
      <c r="F72" s="42">
        <v>45789</v>
      </c>
      <c r="G72" s="13">
        <v>4189.7001953125</v>
      </c>
      <c r="I72" s="39">
        <f t="shared" ref="I72:I110" si="3">G72/G71-1</f>
        <v>5.4702521979355767E-2</v>
      </c>
    </row>
    <row r="73" spans="1:9" x14ac:dyDescent="0.35">
      <c r="A73" s="41">
        <v>45796</v>
      </c>
      <c r="B73" s="71">
        <v>88.550003051757813</v>
      </c>
      <c r="D73" s="39">
        <f t="shared" si="2"/>
        <v>-0.6815893523612605</v>
      </c>
      <c r="F73" s="42">
        <v>45796</v>
      </c>
      <c r="G73" s="13">
        <v>4140.7998046875</v>
      </c>
      <c r="I73" s="39">
        <f t="shared" si="3"/>
        <v>-1.1671572748739978E-2</v>
      </c>
    </row>
    <row r="74" spans="1:9" x14ac:dyDescent="0.35">
      <c r="A74" s="41">
        <v>45803</v>
      </c>
      <c r="B74" s="71">
        <v>85.849998474121094</v>
      </c>
      <c r="D74" s="39">
        <f t="shared" si="2"/>
        <v>-3.049129852721244E-2</v>
      </c>
      <c r="F74" s="42">
        <v>45803</v>
      </c>
      <c r="G74" s="13">
        <v>4002.10009765625</v>
      </c>
      <c r="I74" s="39">
        <f t="shared" si="3"/>
        <v>-3.349587364118356E-2</v>
      </c>
    </row>
    <row r="75" spans="1:9" x14ac:dyDescent="0.35">
      <c r="A75" s="41">
        <v>45810</v>
      </c>
      <c r="B75" s="71">
        <v>77.769996643066406</v>
      </c>
      <c r="D75" s="39">
        <f t="shared" si="2"/>
        <v>-9.4117670060184677E-2</v>
      </c>
      <c r="F75" s="42">
        <v>45810</v>
      </c>
      <c r="G75" s="13">
        <v>4201.60009765625</v>
      </c>
      <c r="I75" s="39">
        <f t="shared" si="3"/>
        <v>4.9848828148209678E-2</v>
      </c>
    </row>
    <row r="76" spans="1:9" x14ac:dyDescent="0.35">
      <c r="A76" s="41">
        <v>45817</v>
      </c>
      <c r="B76" s="71">
        <v>73.800003051757813</v>
      </c>
      <c r="D76" s="39">
        <f t="shared" si="2"/>
        <v>-5.104788173682584E-2</v>
      </c>
      <c r="F76" s="42">
        <v>45817</v>
      </c>
      <c r="G76" s="13">
        <v>4051.89990234375</v>
      </c>
      <c r="I76" s="39">
        <f t="shared" si="3"/>
        <v>-3.5629329739402471E-2</v>
      </c>
    </row>
    <row r="77" spans="1:9" x14ac:dyDescent="0.35">
      <c r="A77" s="41">
        <v>45824</v>
      </c>
      <c r="B77" s="71">
        <v>73.660003662109375</v>
      </c>
      <c r="D77" s="39">
        <f t="shared" si="2"/>
        <v>-1.897010621398687E-3</v>
      </c>
      <c r="F77" s="42">
        <v>45824</v>
      </c>
      <c r="G77" s="13">
        <v>4300.2998046875</v>
      </c>
      <c r="I77" s="39">
        <f t="shared" si="3"/>
        <v>6.1304550539382108E-2</v>
      </c>
    </row>
    <row r="78" spans="1:9" x14ac:dyDescent="0.35">
      <c r="A78" s="41">
        <v>45831</v>
      </c>
      <c r="B78" s="71">
        <v>74.699996948242188</v>
      </c>
      <c r="D78" s="39">
        <f t="shared" si="2"/>
        <v>1.4118832940919201E-2</v>
      </c>
      <c r="F78" s="42">
        <v>45831</v>
      </c>
      <c r="G78" s="13">
        <v>4313.5</v>
      </c>
      <c r="I78" s="39">
        <f t="shared" si="3"/>
        <v>3.0695988447388967E-3</v>
      </c>
    </row>
    <row r="79" spans="1:9" x14ac:dyDescent="0.35">
      <c r="A79" s="41">
        <v>45838</v>
      </c>
      <c r="B79" s="71">
        <v>78.330001831054688</v>
      </c>
      <c r="D79" s="39">
        <f t="shared" si="2"/>
        <v>4.8594444860923458E-2</v>
      </c>
      <c r="F79" s="42">
        <v>45838</v>
      </c>
      <c r="G79" s="13">
        <v>4261.10009765625</v>
      </c>
      <c r="I79" s="39">
        <f t="shared" si="3"/>
        <v>-1.2147885091862709E-2</v>
      </c>
    </row>
    <row r="80" spans="1:9" x14ac:dyDescent="0.35">
      <c r="A80" s="41">
        <v>45845</v>
      </c>
      <c r="B80" s="71">
        <v>76.849998474121094</v>
      </c>
      <c r="D80" s="39">
        <f t="shared" si="2"/>
        <v>-1.8894463453808186E-2</v>
      </c>
      <c r="F80" s="42">
        <v>45845</v>
      </c>
      <c r="G80" s="13">
        <v>4064.19995117187</v>
      </c>
      <c r="I80" s="39">
        <f t="shared" si="3"/>
        <v>-4.6208758764592739E-2</v>
      </c>
    </row>
    <row r="81" spans="1:9" x14ac:dyDescent="0.35">
      <c r="A81" s="41">
        <v>45852</v>
      </c>
      <c r="B81" s="71">
        <v>75.510002136230469</v>
      </c>
      <c r="D81" s="39">
        <f t="shared" si="2"/>
        <v>-1.7436517430014842E-2</v>
      </c>
      <c r="F81" s="42">
        <v>45852</v>
      </c>
      <c r="G81" s="13">
        <v>4048.60009765625</v>
      </c>
      <c r="I81" s="39">
        <f t="shared" si="3"/>
        <v>-3.8383577833374094E-3</v>
      </c>
    </row>
    <row r="82" spans="1:9" x14ac:dyDescent="0.35">
      <c r="A82" s="41">
        <v>45859</v>
      </c>
      <c r="B82" s="71">
        <v>73.769996643066406</v>
      </c>
      <c r="D82" s="39">
        <f t="shared" si="2"/>
        <v>-2.3043377618038652E-2</v>
      </c>
      <c r="F82" s="42">
        <v>45859</v>
      </c>
      <c r="G82" s="13">
        <v>3997</v>
      </c>
      <c r="I82" s="39">
        <f t="shared" si="3"/>
        <v>-1.2745170283951057E-2</v>
      </c>
    </row>
    <row r="83" spans="1:9" x14ac:dyDescent="0.35">
      <c r="A83" s="41">
        <v>45866</v>
      </c>
      <c r="B83" s="71">
        <v>73.779998779296875</v>
      </c>
      <c r="D83" s="39">
        <f t="shared" si="2"/>
        <v>1.355854234190712E-4</v>
      </c>
      <c r="F83" s="42">
        <v>45866</v>
      </c>
      <c r="G83" s="13">
        <v>4196</v>
      </c>
      <c r="I83" s="39">
        <f t="shared" si="3"/>
        <v>4.978734050537903E-2</v>
      </c>
    </row>
    <row r="84" spans="1:9" x14ac:dyDescent="0.35">
      <c r="A84" s="41">
        <v>45873</v>
      </c>
      <c r="B84" s="71">
        <v>74.19000244140625</v>
      </c>
      <c r="D84" s="39">
        <f t="shared" si="2"/>
        <v>5.5571112617640583E-3</v>
      </c>
      <c r="F84" s="42">
        <v>45873</v>
      </c>
      <c r="G84" s="13">
        <v>4170.10009765625</v>
      </c>
      <c r="I84" s="39">
        <f t="shared" si="3"/>
        <v>-6.1725220075666831E-3</v>
      </c>
    </row>
    <row r="85" spans="1:9" x14ac:dyDescent="0.35">
      <c r="A85" s="41">
        <v>45880</v>
      </c>
      <c r="B85" s="71">
        <v>75</v>
      </c>
      <c r="D85" s="39">
        <f t="shared" si="2"/>
        <v>1.0917880198662466E-2</v>
      </c>
      <c r="F85" s="42">
        <v>45880</v>
      </c>
      <c r="G85" s="13">
        <v>4358.2001953125</v>
      </c>
      <c r="I85" s="39">
        <f t="shared" si="3"/>
        <v>4.5106854332338298E-2</v>
      </c>
    </row>
    <row r="86" spans="1:9" x14ac:dyDescent="0.35">
      <c r="A86" s="41">
        <v>45887</v>
      </c>
      <c r="B86" s="71">
        <v>81.25</v>
      </c>
      <c r="D86" s="39">
        <f t="shared" si="2"/>
        <v>8.3333333333333259E-2</v>
      </c>
      <c r="F86" s="42">
        <v>45887</v>
      </c>
      <c r="G86" s="13">
        <v>4698.7998046875</v>
      </c>
      <c r="I86" s="39">
        <f t="shared" si="3"/>
        <v>7.8151437316104744E-2</v>
      </c>
    </row>
    <row r="87" spans="1:9" x14ac:dyDescent="0.35">
      <c r="A87" s="41">
        <v>45894</v>
      </c>
      <c r="B87" s="71">
        <v>77.349998474121094</v>
      </c>
      <c r="D87" s="39">
        <f t="shared" si="2"/>
        <v>-4.8000018780048115E-2</v>
      </c>
      <c r="F87" s="42">
        <v>45894</v>
      </c>
      <c r="G87" s="13">
        <v>4755.60009765625</v>
      </c>
      <c r="I87" s="39">
        <f t="shared" si="3"/>
        <v>1.2088255582220375E-2</v>
      </c>
    </row>
    <row r="88" spans="1:9" x14ac:dyDescent="0.35">
      <c r="A88" s="41">
        <v>45901</v>
      </c>
      <c r="B88" s="71">
        <v>85.919998168945313</v>
      </c>
      <c r="D88" s="39">
        <f t="shared" si="2"/>
        <v>0.11079508550593542</v>
      </c>
      <c r="F88" s="42">
        <v>45901</v>
      </c>
      <c r="G88" s="13">
        <v>4793.2998046875</v>
      </c>
      <c r="I88" s="39">
        <f t="shared" si="3"/>
        <v>7.9274342369177742E-3</v>
      </c>
    </row>
    <row r="89" spans="1:9" x14ac:dyDescent="0.35">
      <c r="A89" s="41">
        <v>45908</v>
      </c>
      <c r="B89" s="71">
        <v>88.379997253417969</v>
      </c>
      <c r="D89" s="39">
        <f t="shared" si="2"/>
        <v>2.863127487078776E-2</v>
      </c>
      <c r="F89" s="42">
        <v>45908</v>
      </c>
      <c r="G89" s="13">
        <v>4616.60009765625</v>
      </c>
      <c r="I89" s="39">
        <f t="shared" si="3"/>
        <v>-3.686389632011966E-2</v>
      </c>
    </row>
    <row r="90" spans="1:9" x14ac:dyDescent="0.35">
      <c r="A90" s="41">
        <v>45915</v>
      </c>
      <c r="B90" s="71">
        <v>92.110000610351563</v>
      </c>
      <c r="D90" s="39">
        <f t="shared" si="2"/>
        <v>4.2204157873396486E-2</v>
      </c>
      <c r="F90" s="42">
        <v>45915</v>
      </c>
      <c r="G90" s="13">
        <v>4775.2998046875</v>
      </c>
      <c r="I90" s="39">
        <f t="shared" si="3"/>
        <v>3.4375883480100011E-2</v>
      </c>
    </row>
    <row r="91" spans="1:9" x14ac:dyDescent="0.35">
      <c r="A91" s="41">
        <v>45922</v>
      </c>
      <c r="B91" s="71">
        <v>84.900001525878906</v>
      </c>
      <c r="D91" s="39">
        <f t="shared" si="2"/>
        <v>-7.8275963920277913E-2</v>
      </c>
      <c r="F91" s="42">
        <v>45922</v>
      </c>
      <c r="G91" s="13">
        <v>4517.7998046875</v>
      </c>
      <c r="I91" s="39">
        <f t="shared" si="3"/>
        <v>-5.3923315924004234E-2</v>
      </c>
    </row>
    <row r="92" spans="1:9" x14ac:dyDescent="0.35">
      <c r="A92" s="41">
        <v>45929</v>
      </c>
      <c r="B92" s="71">
        <v>87.989997863769531</v>
      </c>
      <c r="D92" s="39">
        <f t="shared" si="2"/>
        <v>3.6395715928800643E-2</v>
      </c>
      <c r="F92" s="42">
        <v>45929</v>
      </c>
      <c r="G92" s="13">
        <v>4418.39990234375</v>
      </c>
      <c r="I92" s="39">
        <f t="shared" si="3"/>
        <v>-2.200183864734695E-2</v>
      </c>
    </row>
    <row r="93" spans="1:9" x14ac:dyDescent="0.35">
      <c r="A93" s="41">
        <v>45936</v>
      </c>
      <c r="B93" s="71">
        <v>83.19000244140625</v>
      </c>
      <c r="D93" s="39">
        <f t="shared" si="2"/>
        <v>-5.455160289689831E-2</v>
      </c>
      <c r="F93" s="42">
        <v>45936</v>
      </c>
      <c r="G93" s="13">
        <v>4320.39990234375</v>
      </c>
      <c r="I93" s="39">
        <f t="shared" si="3"/>
        <v>-2.2179975141683239E-2</v>
      </c>
    </row>
    <row r="94" spans="1:9" x14ac:dyDescent="0.35">
      <c r="A94" s="41">
        <v>45943</v>
      </c>
      <c r="B94" s="71">
        <v>82.279998779296875</v>
      </c>
      <c r="D94" s="39">
        <f t="shared" si="2"/>
        <v>-1.0938858461391754E-2</v>
      </c>
      <c r="F94" s="42">
        <v>45943</v>
      </c>
      <c r="G94" s="13">
        <v>4302.5</v>
      </c>
      <c r="I94" s="39">
        <f t="shared" si="3"/>
        <v>-4.1431123850456109E-3</v>
      </c>
    </row>
    <row r="95" spans="1:9" x14ac:dyDescent="0.35">
      <c r="A95" s="41">
        <v>45950</v>
      </c>
      <c r="B95" s="71">
        <v>81.930000305175781</v>
      </c>
      <c r="D95" s="39">
        <f t="shared" si="2"/>
        <v>-4.2537491409049277E-3</v>
      </c>
      <c r="F95" s="42">
        <v>45950</v>
      </c>
      <c r="G95" s="13">
        <v>4213.89990234375</v>
      </c>
      <c r="I95" s="39">
        <f t="shared" si="3"/>
        <v>-2.0592701372748379E-2</v>
      </c>
    </row>
    <row r="96" spans="1:9" x14ac:dyDescent="0.35">
      <c r="A96" s="41">
        <v>45957</v>
      </c>
      <c r="B96" s="71">
        <v>81.639999389648438</v>
      </c>
      <c r="D96" s="39">
        <f t="shared" si="2"/>
        <v>-3.5396181428919427E-3</v>
      </c>
      <c r="F96" s="42">
        <v>45957</v>
      </c>
      <c r="G96" s="13">
        <v>4153.5</v>
      </c>
      <c r="I96" s="39">
        <f t="shared" si="3"/>
        <v>-1.4333492428274308E-2</v>
      </c>
    </row>
    <row r="97" spans="1:9" x14ac:dyDescent="0.35">
      <c r="A97" s="41">
        <v>45964</v>
      </c>
      <c r="B97" s="71">
        <v>79.699996948242188</v>
      </c>
      <c r="D97" s="39">
        <f t="shared" si="2"/>
        <v>-2.3762891424668919E-2</v>
      </c>
      <c r="F97" s="42">
        <v>45964</v>
      </c>
      <c r="G97" s="13">
        <v>4011</v>
      </c>
      <c r="I97" s="39">
        <f t="shared" si="3"/>
        <v>-3.4308414590104697E-2</v>
      </c>
    </row>
    <row r="98" spans="1:9" x14ac:dyDescent="0.35">
      <c r="A98" s="41">
        <v>45971</v>
      </c>
      <c r="B98" s="71">
        <v>78.44000244140625</v>
      </c>
      <c r="D98" s="39">
        <f t="shared" si="2"/>
        <v>-1.5809216500399459E-2</v>
      </c>
      <c r="F98" s="42">
        <v>45971</v>
      </c>
      <c r="G98" s="13">
        <v>4053.69995117187</v>
      </c>
      <c r="I98" s="39">
        <f t="shared" si="3"/>
        <v>1.0645712084734527E-2</v>
      </c>
    </row>
    <row r="99" spans="1:9" x14ac:dyDescent="0.35">
      <c r="A99" s="41">
        <v>45978</v>
      </c>
      <c r="B99" s="71">
        <v>76.709999084472656</v>
      </c>
      <c r="D99" s="39">
        <f t="shared" si="2"/>
        <v>-2.2055116051607593E-2</v>
      </c>
      <c r="F99" s="42">
        <v>45978</v>
      </c>
      <c r="G99" s="13">
        <v>4038</v>
      </c>
      <c r="I99" s="39">
        <f t="shared" si="3"/>
        <v>-3.8729929104228678E-3</v>
      </c>
    </row>
    <row r="100" spans="1:9" x14ac:dyDescent="0.35">
      <c r="A100" s="41">
        <v>45985</v>
      </c>
      <c r="B100" s="71">
        <v>78.150001525878906</v>
      </c>
      <c r="D100" s="39">
        <f t="shared" si="2"/>
        <v>1.8772030486149838E-2</v>
      </c>
      <c r="F100" s="42">
        <v>45985</v>
      </c>
      <c r="G100" s="13">
        <v>3996.5</v>
      </c>
      <c r="I100" s="39">
        <f t="shared" si="3"/>
        <v>-1.0277365032194119E-2</v>
      </c>
    </row>
    <row r="101" spans="1:9" x14ac:dyDescent="0.35">
      <c r="A101" s="41">
        <v>45992</v>
      </c>
      <c r="B101" s="71">
        <v>77.410003662109375</v>
      </c>
      <c r="D101" s="39">
        <f t="shared" si="2"/>
        <v>-9.4689424097386121E-3</v>
      </c>
      <c r="F101" s="42">
        <v>45992</v>
      </c>
      <c r="G101" s="13">
        <v>3952.10009765625</v>
      </c>
      <c r="I101" s="39">
        <f t="shared" si="3"/>
        <v>-1.1109696570436589E-2</v>
      </c>
    </row>
    <row r="102" spans="1:9" x14ac:dyDescent="0.35">
      <c r="A102" s="41">
        <v>45999</v>
      </c>
      <c r="B102" s="71">
        <v>77.669998168945313</v>
      </c>
      <c r="D102" s="39">
        <f t="shared" si="2"/>
        <v>3.3586680601489505E-3</v>
      </c>
      <c r="F102" s="42">
        <v>45999</v>
      </c>
      <c r="G102" s="13">
        <v>3843</v>
      </c>
      <c r="I102" s="39">
        <f t="shared" si="3"/>
        <v>-2.7605600809794906E-2</v>
      </c>
    </row>
    <row r="103" spans="1:9" x14ac:dyDescent="0.35">
      <c r="A103" s="41">
        <v>46006</v>
      </c>
      <c r="B103" s="71">
        <v>76.819999694824219</v>
      </c>
      <c r="D103" s="39">
        <f t="shared" si="2"/>
        <v>-1.0943716932659164E-2</v>
      </c>
      <c r="F103" s="42">
        <v>46006</v>
      </c>
      <c r="G103" s="13">
        <v>3819.5</v>
      </c>
      <c r="I103" s="39">
        <f t="shared" si="3"/>
        <v>-6.115014311735667E-3</v>
      </c>
    </row>
    <row r="104" spans="1:9" x14ac:dyDescent="0.35">
      <c r="A104" s="41">
        <v>46013</v>
      </c>
      <c r="B104" s="71">
        <v>76.779998779296875</v>
      </c>
      <c r="D104" s="39">
        <f t="shared" si="2"/>
        <v>-5.2070965485873089E-4</v>
      </c>
      <c r="F104" s="42">
        <v>46013</v>
      </c>
      <c r="G104" s="13">
        <v>3787.39990234375</v>
      </c>
      <c r="I104" s="39">
        <f t="shared" si="3"/>
        <v>-8.4042669606624321E-3</v>
      </c>
    </row>
    <row r="105" spans="1:9" x14ac:dyDescent="0.35">
      <c r="A105" s="41">
        <v>46020</v>
      </c>
      <c r="B105" s="71">
        <v>78.160003662109375</v>
      </c>
      <c r="D105" s="39">
        <f t="shared" si="2"/>
        <v>1.7973494461484663E-2</v>
      </c>
      <c r="F105" s="42">
        <v>46020</v>
      </c>
      <c r="G105" s="13">
        <v>3719.80004882812</v>
      </c>
      <c r="I105" s="39">
        <f t="shared" si="3"/>
        <v>-1.7848617853582716E-2</v>
      </c>
    </row>
    <row r="106" spans="1:9" x14ac:dyDescent="0.35">
      <c r="A106" s="41">
        <v>46027</v>
      </c>
      <c r="B106" s="71">
        <v>74.540000915527344</v>
      </c>
      <c r="D106" s="39">
        <f t="shared" si="2"/>
        <v>-4.631528373810645E-2</v>
      </c>
      <c r="F106" s="42">
        <v>46027</v>
      </c>
      <c r="G106" s="13">
        <v>3801.30004882812</v>
      </c>
      <c r="I106" s="39">
        <f t="shared" si="3"/>
        <v>2.1909779808104268E-2</v>
      </c>
    </row>
    <row r="107" spans="1:9" x14ac:dyDescent="0.35">
      <c r="A107" s="41">
        <v>46034</v>
      </c>
      <c r="B107" s="71">
        <v>71.300003051757813</v>
      </c>
      <c r="D107" s="39">
        <f t="shared" si="2"/>
        <v>-4.3466565923996558E-2</v>
      </c>
      <c r="F107" s="42">
        <v>46034</v>
      </c>
      <c r="G107" s="13">
        <v>3775.69995117187</v>
      </c>
      <c r="I107" s="39">
        <f t="shared" si="3"/>
        <v>-6.7345637880235065E-3</v>
      </c>
    </row>
    <row r="108" spans="1:9" x14ac:dyDescent="0.35">
      <c r="A108" s="41">
        <v>46041</v>
      </c>
      <c r="B108" s="71">
        <v>61.639999389648438</v>
      </c>
      <c r="D108" s="39">
        <f t="shared" si="2"/>
        <v>-0.13548391653078928</v>
      </c>
      <c r="F108" s="42">
        <v>46041</v>
      </c>
      <c r="G108" s="13">
        <v>3665.60009765625</v>
      </c>
      <c r="I108" s="39">
        <f t="shared" si="3"/>
        <v>-2.9160117313201228E-2</v>
      </c>
    </row>
    <row r="109" spans="1:9" x14ac:dyDescent="0.35">
      <c r="A109" s="41">
        <v>46048</v>
      </c>
      <c r="B109" s="71">
        <v>64.779998779296875</v>
      </c>
      <c r="D109" s="39">
        <f t="shared" si="2"/>
        <v>5.094093803926536E-2</v>
      </c>
      <c r="F109" s="42">
        <v>46048</v>
      </c>
      <c r="G109" s="13">
        <v>3613.69995117187</v>
      </c>
      <c r="I109" s="39">
        <f t="shared" si="3"/>
        <v>-1.4158703923421556E-2</v>
      </c>
    </row>
    <row r="110" spans="1:9" ht="15" thickBot="1" x14ac:dyDescent="0.4">
      <c r="A110" s="41">
        <v>46055</v>
      </c>
      <c r="B110" s="71">
        <v>68.819999694824219</v>
      </c>
      <c r="D110" s="40">
        <f t="shared" si="2"/>
        <v>6.2364942754807418E-2</v>
      </c>
      <c r="F110" s="42">
        <v>46055</v>
      </c>
      <c r="G110" s="13">
        <v>3883.89990234375</v>
      </c>
      <c r="I110" s="40">
        <f t="shared" si="3"/>
        <v>7.477099782018648E-2</v>
      </c>
    </row>
  </sheetData>
  <mergeCells count="3">
    <mergeCell ref="K3:L3"/>
    <mergeCell ref="C5:D5"/>
    <mergeCell ref="H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5B6D-1F37-4209-83B6-37B8ED62C9CD}">
  <dimension ref="A1:V110"/>
  <sheetViews>
    <sheetView showGridLines="0" workbookViewId="0">
      <selection activeCell="P6" sqref="P6"/>
    </sheetView>
  </sheetViews>
  <sheetFormatPr defaultRowHeight="14.5" x14ac:dyDescent="0.35"/>
  <cols>
    <col min="1" max="1" width="10.453125" bestFit="1" customWidth="1"/>
    <col min="2" max="2" width="10.90625" bestFit="1" customWidth="1"/>
    <col min="6" max="6" width="10.453125" bestFit="1" customWidth="1"/>
    <col min="11" max="11" width="18.08984375" bestFit="1" customWidth="1"/>
    <col min="12" max="12" width="11.81640625" bestFit="1" customWidth="1"/>
    <col min="13" max="15" width="8.7265625" style="36"/>
    <col min="16" max="16" width="13.54296875" style="36" bestFit="1" customWidth="1"/>
    <col min="17" max="16384" width="8.7265625" style="36"/>
  </cols>
  <sheetData>
    <row r="1" spans="1:20" customFormat="1" x14ac:dyDescent="0.35"/>
    <row r="2" spans="1:20" customFormat="1" x14ac:dyDescent="0.35">
      <c r="O2" s="54" t="s">
        <v>73</v>
      </c>
      <c r="P2" s="55"/>
    </row>
    <row r="3" spans="1:20" customFormat="1" x14ac:dyDescent="0.35">
      <c r="B3" s="47" t="s">
        <v>103</v>
      </c>
      <c r="G3" s="47" t="s">
        <v>41</v>
      </c>
      <c r="K3" s="48" t="s">
        <v>75</v>
      </c>
      <c r="L3" s="48"/>
      <c r="O3" s="57" t="s">
        <v>74</v>
      </c>
      <c r="P3" s="56"/>
    </row>
    <row r="4" spans="1:20" customFormat="1" x14ac:dyDescent="0.35">
      <c r="O4" s="58" t="s">
        <v>44</v>
      </c>
      <c r="P4" s="59">
        <f>SLOPE(D7:D110,I7:I110)</f>
        <v>3.7661611982057218E-2</v>
      </c>
    </row>
    <row r="5" spans="1:20" customFormat="1" ht="15" thickBot="1" x14ac:dyDescent="0.4">
      <c r="A5" s="49" t="s">
        <v>42</v>
      </c>
      <c r="B5" s="50" t="s">
        <v>43</v>
      </c>
      <c r="C5" s="51" t="s">
        <v>69</v>
      </c>
      <c r="D5" s="51"/>
      <c r="E5" s="49"/>
      <c r="F5" s="49" t="s">
        <v>42</v>
      </c>
      <c r="G5" s="49" t="s">
        <v>43</v>
      </c>
      <c r="H5" s="51" t="s">
        <v>69</v>
      </c>
      <c r="I5" s="51"/>
      <c r="K5" t="s">
        <v>78</v>
      </c>
      <c r="L5">
        <f>P5</f>
        <v>3.7661611982057218E-2</v>
      </c>
      <c r="O5" s="60" t="s">
        <v>72</v>
      </c>
      <c r="P5" s="61">
        <f>_xlfn.COVARIANCE.S(D6:D110,I6:I110)/_xlfn.VAR.S(I6:I110)</f>
        <v>3.7661611982057218E-2</v>
      </c>
    </row>
    <row r="6" spans="1:20" customFormat="1" ht="15.5" thickTop="1" thickBot="1" x14ac:dyDescent="0.4">
      <c r="A6" s="41">
        <v>45327</v>
      </c>
      <c r="B6" s="71">
        <v>1075.927734375</v>
      </c>
      <c r="F6" s="42">
        <v>45327</v>
      </c>
      <c r="G6" s="13">
        <v>3719.19995117187</v>
      </c>
      <c r="K6" t="s">
        <v>77</v>
      </c>
      <c r="L6" s="23">
        <v>0.75</v>
      </c>
      <c r="O6" s="62" t="s">
        <v>45</v>
      </c>
      <c r="P6" s="63">
        <f>M31</f>
        <v>3.766161198205728E-2</v>
      </c>
    </row>
    <row r="7" spans="1:20" customFormat="1" x14ac:dyDescent="0.35">
      <c r="A7" s="41">
        <v>45334</v>
      </c>
      <c r="B7" s="71">
        <v>1098.616943359375</v>
      </c>
      <c r="D7" s="38">
        <f>B7/B6-1</f>
        <v>2.1088041751758491E-2</v>
      </c>
      <c r="F7" s="42">
        <v>45334</v>
      </c>
      <c r="G7" s="13">
        <v>3693.30004882812</v>
      </c>
      <c r="I7" s="38">
        <f>G7/G6-1</f>
        <v>-6.9638370304853092E-3</v>
      </c>
    </row>
    <row r="8" spans="1:20" customFormat="1" x14ac:dyDescent="0.35">
      <c r="A8" s="41">
        <v>45341</v>
      </c>
      <c r="B8" s="71">
        <v>1113.775634765625</v>
      </c>
      <c r="D8" s="39">
        <f t="shared" ref="D8:D71" si="0">B8/B7-1</f>
        <v>1.3797977081891233E-2</v>
      </c>
      <c r="F8" s="42">
        <v>45341</v>
      </c>
      <c r="G8" s="13">
        <v>3840.55004882812</v>
      </c>
      <c r="I8" s="39">
        <f t="shared" ref="I8:I71" si="1">G8/G7-1</f>
        <v>3.98694928798764E-2</v>
      </c>
      <c r="K8" t="s">
        <v>79</v>
      </c>
      <c r="L8">
        <v>1</v>
      </c>
    </row>
    <row r="9" spans="1:20" customFormat="1" x14ac:dyDescent="0.35">
      <c r="A9" s="41">
        <v>45348</v>
      </c>
      <c r="B9" s="71">
        <v>1120.71923828125</v>
      </c>
      <c r="D9" s="39">
        <f t="shared" si="0"/>
        <v>6.234292885286763E-3</v>
      </c>
      <c r="F9" s="42">
        <v>45348</v>
      </c>
      <c r="G9" s="13">
        <v>3884.14990234375</v>
      </c>
      <c r="I9" s="39">
        <f t="shared" si="1"/>
        <v>1.1352502365887363E-2</v>
      </c>
      <c r="K9" t="s">
        <v>76</v>
      </c>
      <c r="L9" s="8">
        <v>0.25</v>
      </c>
    </row>
    <row r="10" spans="1:20" customFormat="1" x14ac:dyDescent="0.35">
      <c r="A10" s="41">
        <v>45355</v>
      </c>
      <c r="B10" s="71">
        <v>1109.325927734375</v>
      </c>
      <c r="D10" s="39">
        <f t="shared" si="0"/>
        <v>-1.0166070285674733E-2</v>
      </c>
      <c r="F10" s="42">
        <v>45355</v>
      </c>
      <c r="G10" s="13">
        <v>3925.94995117187</v>
      </c>
      <c r="I10" s="39">
        <f t="shared" si="1"/>
        <v>1.0761698152508714E-2</v>
      </c>
    </row>
    <row r="11" spans="1:20" x14ac:dyDescent="0.35">
      <c r="A11" s="41">
        <v>45362</v>
      </c>
      <c r="B11" s="71">
        <v>1054.998901367188</v>
      </c>
      <c r="D11" s="39">
        <f t="shared" si="0"/>
        <v>-4.8973006948590414E-2</v>
      </c>
      <c r="F11" s="42">
        <v>45362</v>
      </c>
      <c r="G11" s="13">
        <v>3932.10009765625</v>
      </c>
      <c r="I11" s="39">
        <f t="shared" si="1"/>
        <v>1.5665371593807098E-3</v>
      </c>
      <c r="J11" s="36"/>
      <c r="K11" s="52" t="s">
        <v>80</v>
      </c>
      <c r="L11" s="53">
        <f>L6*L5+L9*L8</f>
        <v>0.2782462089865429</v>
      </c>
    </row>
    <row r="12" spans="1:20" x14ac:dyDescent="0.35">
      <c r="A12" s="41">
        <v>45369</v>
      </c>
      <c r="B12" s="71">
        <v>1097.345703125</v>
      </c>
      <c r="D12" s="39">
        <f t="shared" si="0"/>
        <v>4.0139190384875567E-2</v>
      </c>
      <c r="F12" s="42">
        <v>45369</v>
      </c>
      <c r="G12" s="13">
        <v>4297.60009765625</v>
      </c>
      <c r="H12" s="35"/>
      <c r="I12" s="39">
        <f t="shared" si="1"/>
        <v>9.2952872745497572E-2</v>
      </c>
      <c r="J12" s="36"/>
      <c r="K12" s="36"/>
    </row>
    <row r="13" spans="1:20" x14ac:dyDescent="0.35">
      <c r="A13" s="41">
        <v>45376</v>
      </c>
      <c r="B13" s="71">
        <v>1128.543212890625</v>
      </c>
      <c r="D13" s="39">
        <f t="shared" si="0"/>
        <v>2.8429973960604427E-2</v>
      </c>
      <c r="F13" s="42">
        <v>45376</v>
      </c>
      <c r="G13" s="13">
        <v>4525.60009765625</v>
      </c>
      <c r="H13" s="36"/>
      <c r="I13" s="39">
        <f t="shared" si="1"/>
        <v>5.3052865510763159E-2</v>
      </c>
      <c r="J13" s="36"/>
      <c r="K13" s="36"/>
      <c r="N13" s="74"/>
      <c r="O13" s="74"/>
    </row>
    <row r="14" spans="1:20" x14ac:dyDescent="0.35">
      <c r="A14" s="41">
        <v>45383</v>
      </c>
      <c r="B14" s="71">
        <v>1055.683471679688</v>
      </c>
      <c r="D14" s="39">
        <f t="shared" si="0"/>
        <v>-6.4560878465890315E-2</v>
      </c>
      <c r="F14" s="42">
        <v>45383</v>
      </c>
      <c r="G14" s="13">
        <v>4619.25</v>
      </c>
      <c r="H14" s="36"/>
      <c r="I14" s="39">
        <f t="shared" si="1"/>
        <v>2.0693366696772353E-2</v>
      </c>
      <c r="J14" s="36"/>
      <c r="K14" s="36"/>
      <c r="L14" t="s">
        <v>46</v>
      </c>
      <c r="M14"/>
      <c r="N14"/>
      <c r="O14"/>
      <c r="P14"/>
      <c r="Q14"/>
      <c r="R14"/>
      <c r="S14"/>
      <c r="T14"/>
    </row>
    <row r="15" spans="1:20" ht="15" thickBot="1" x14ac:dyDescent="0.4">
      <c r="A15" s="41">
        <v>45390</v>
      </c>
      <c r="B15" s="71">
        <v>1026.099487304688</v>
      </c>
      <c r="D15" s="39">
        <f t="shared" si="0"/>
        <v>-2.8023536570037644E-2</v>
      </c>
      <c r="F15" s="42">
        <v>45390</v>
      </c>
      <c r="G15" s="13">
        <v>4765.0498046875</v>
      </c>
      <c r="H15" s="36"/>
      <c r="I15" s="39">
        <f t="shared" si="1"/>
        <v>3.1563523231585178E-2</v>
      </c>
      <c r="J15" s="36"/>
      <c r="K15" s="36"/>
      <c r="M15"/>
      <c r="N15"/>
      <c r="O15"/>
      <c r="P15"/>
      <c r="Q15"/>
      <c r="R15"/>
      <c r="S15"/>
      <c r="T15"/>
    </row>
    <row r="16" spans="1:20" x14ac:dyDescent="0.35">
      <c r="A16" s="41">
        <v>45397</v>
      </c>
      <c r="B16" s="71">
        <v>1045.316772460938</v>
      </c>
      <c r="D16" s="39">
        <f t="shared" si="0"/>
        <v>1.8728481393874397E-2</v>
      </c>
      <c r="F16" s="42">
        <v>45397</v>
      </c>
      <c r="G16" s="13">
        <v>4696</v>
      </c>
      <c r="H16" s="36"/>
      <c r="I16" s="39">
        <f t="shared" si="1"/>
        <v>-1.4490888346974651E-2</v>
      </c>
      <c r="J16" s="36"/>
      <c r="K16" s="36"/>
      <c r="L16" s="46" t="s">
        <v>47</v>
      </c>
      <c r="M16" s="46"/>
      <c r="N16"/>
      <c r="O16"/>
      <c r="P16"/>
      <c r="Q16"/>
      <c r="R16"/>
      <c r="S16"/>
      <c r="T16"/>
    </row>
    <row r="17" spans="1:22" x14ac:dyDescent="0.35">
      <c r="A17" s="41">
        <v>45404</v>
      </c>
      <c r="B17" s="71">
        <v>1058.372924804688</v>
      </c>
      <c r="D17" s="39">
        <f t="shared" si="0"/>
        <v>1.2490139532548072E-2</v>
      </c>
      <c r="F17" s="42">
        <v>45404</v>
      </c>
      <c r="G17" s="13">
        <v>4553.14990234375</v>
      </c>
      <c r="H17" s="36"/>
      <c r="I17" s="39">
        <f t="shared" si="1"/>
        <v>-3.0419526758145188E-2</v>
      </c>
      <c r="J17" s="36"/>
      <c r="K17" s="36"/>
      <c r="L17" s="43" t="s">
        <v>48</v>
      </c>
      <c r="M17" s="43">
        <v>4.3005618330572183E-2</v>
      </c>
      <c r="N17"/>
      <c r="O17"/>
      <c r="P17"/>
      <c r="Q17"/>
      <c r="R17"/>
      <c r="S17"/>
      <c r="T17"/>
    </row>
    <row r="18" spans="1:22" x14ac:dyDescent="0.35">
      <c r="A18" s="41">
        <v>45411</v>
      </c>
      <c r="B18" s="71">
        <v>1044.779052734375</v>
      </c>
      <c r="D18" s="39">
        <f t="shared" si="0"/>
        <v>-1.2844123041811151E-2</v>
      </c>
      <c r="F18" s="42">
        <v>45411</v>
      </c>
      <c r="G18" s="13">
        <v>4612.35009765625</v>
      </c>
      <c r="H18" s="36"/>
      <c r="I18" s="39">
        <f t="shared" si="1"/>
        <v>1.3002030809929233E-2</v>
      </c>
      <c r="J18" s="36"/>
      <c r="K18" s="36"/>
      <c r="L18" s="43" t="s">
        <v>49</v>
      </c>
      <c r="M18" s="43">
        <v>1.8494832079948462E-3</v>
      </c>
      <c r="N18"/>
      <c r="O18"/>
      <c r="P18"/>
      <c r="Q18"/>
      <c r="R18"/>
      <c r="S18"/>
      <c r="T18"/>
    </row>
    <row r="19" spans="1:22" x14ac:dyDescent="0.35">
      <c r="A19" s="41">
        <v>45418</v>
      </c>
      <c r="B19" s="71">
        <v>1014.510437011719</v>
      </c>
      <c r="D19" s="39">
        <f t="shared" si="0"/>
        <v>-2.8971307994199891E-2</v>
      </c>
      <c r="F19" s="42">
        <v>45418</v>
      </c>
      <c r="G19" s="13">
        <v>4796.7998046875</v>
      </c>
      <c r="H19" s="36"/>
      <c r="I19" s="39">
        <f t="shared" si="1"/>
        <v>3.9990396029342401E-2</v>
      </c>
      <c r="J19" s="37"/>
      <c r="K19" s="37"/>
      <c r="L19" s="43" t="s">
        <v>50</v>
      </c>
      <c r="M19" s="43">
        <v>-7.9363061723189306E-3</v>
      </c>
      <c r="N19"/>
      <c r="O19"/>
      <c r="P19"/>
      <c r="Q19"/>
      <c r="R19"/>
      <c r="S19"/>
      <c r="T19"/>
    </row>
    <row r="20" spans="1:22" x14ac:dyDescent="0.35">
      <c r="A20" s="41">
        <v>45425</v>
      </c>
      <c r="B20" s="71">
        <v>1121.89306640625</v>
      </c>
      <c r="D20" s="39">
        <f t="shared" si="0"/>
        <v>0.10584674684159068</v>
      </c>
      <c r="F20" s="42">
        <v>45425</v>
      </c>
      <c r="G20" s="13">
        <v>4670.64990234375</v>
      </c>
      <c r="H20" s="37"/>
      <c r="I20" s="39">
        <f t="shared" si="1"/>
        <v>-2.6298763233869926E-2</v>
      </c>
      <c r="J20" s="36"/>
      <c r="K20" s="36"/>
      <c r="L20" s="43" t="s">
        <v>51</v>
      </c>
      <c r="M20" s="43">
        <v>3.8171204270268523E-2</v>
      </c>
      <c r="N20"/>
      <c r="O20"/>
      <c r="P20"/>
      <c r="Q20"/>
      <c r="R20"/>
      <c r="S20"/>
      <c r="T20"/>
    </row>
    <row r="21" spans="1:22" ht="15" thickBot="1" x14ac:dyDescent="0.4">
      <c r="A21" s="41">
        <v>45432</v>
      </c>
      <c r="B21" s="71">
        <v>1116.220703125</v>
      </c>
      <c r="D21" s="39">
        <f t="shared" si="0"/>
        <v>-5.056064121530035E-3</v>
      </c>
      <c r="F21" s="42">
        <v>45432</v>
      </c>
      <c r="G21" s="13">
        <v>4684.5</v>
      </c>
      <c r="H21" s="36"/>
      <c r="I21" s="39">
        <f t="shared" si="1"/>
        <v>2.9653469957788836E-3</v>
      </c>
      <c r="J21" s="36"/>
      <c r="K21" s="36"/>
      <c r="L21" s="44" t="s">
        <v>52</v>
      </c>
      <c r="M21" s="44">
        <v>104</v>
      </c>
      <c r="N21"/>
      <c r="O21"/>
      <c r="P21"/>
      <c r="Q21"/>
      <c r="R21"/>
      <c r="S21"/>
      <c r="T21"/>
    </row>
    <row r="22" spans="1:22" x14ac:dyDescent="0.35">
      <c r="A22" s="41">
        <v>45439</v>
      </c>
      <c r="B22" s="71">
        <v>1110.54833984375</v>
      </c>
      <c r="D22" s="39">
        <f t="shared" si="0"/>
        <v>-5.0817578148922848E-3</v>
      </c>
      <c r="F22" s="42">
        <v>45439</v>
      </c>
      <c r="G22" s="13">
        <v>4302.14990234375</v>
      </c>
      <c r="H22" s="36"/>
      <c r="I22" s="39">
        <f t="shared" si="1"/>
        <v>-8.1620257798324269E-2</v>
      </c>
      <c r="J22" s="36"/>
      <c r="K22" s="36"/>
      <c r="M22"/>
      <c r="N22"/>
      <c r="O22"/>
      <c r="P22"/>
      <c r="Q22"/>
      <c r="R22"/>
      <c r="S22"/>
      <c r="T22"/>
    </row>
    <row r="23" spans="1:22" ht="15" thickBot="1" x14ac:dyDescent="0.4">
      <c r="A23" s="41">
        <v>45446</v>
      </c>
      <c r="B23" s="71">
        <v>1130.4013671875</v>
      </c>
      <c r="D23" s="39">
        <f t="shared" si="0"/>
        <v>1.7876779093239037E-2</v>
      </c>
      <c r="F23" s="42">
        <v>45446</v>
      </c>
      <c r="G23" s="13">
        <v>4747.25</v>
      </c>
      <c r="H23" s="36"/>
      <c r="I23" s="39">
        <f t="shared" si="1"/>
        <v>0.10345992300588258</v>
      </c>
      <c r="J23" s="36"/>
      <c r="K23" s="36"/>
      <c r="L23" t="s">
        <v>53</v>
      </c>
      <c r="M23"/>
      <c r="N23"/>
      <c r="O23"/>
      <c r="P23"/>
      <c r="Q23"/>
      <c r="R23"/>
      <c r="S23"/>
      <c r="T23"/>
    </row>
    <row r="24" spans="1:22" x14ac:dyDescent="0.35">
      <c r="A24" s="41">
        <v>45453</v>
      </c>
      <c r="B24" s="71">
        <v>1124.875854492188</v>
      </c>
      <c r="D24" s="39">
        <f t="shared" si="0"/>
        <v>-4.8880980293396492E-3</v>
      </c>
      <c r="F24" s="42">
        <v>45453</v>
      </c>
      <c r="G24" s="13">
        <v>4739.9501953125</v>
      </c>
      <c r="H24" s="36"/>
      <c r="I24" s="39">
        <f t="shared" si="1"/>
        <v>-1.5376912291326095E-3</v>
      </c>
      <c r="J24" s="37"/>
      <c r="K24" s="37"/>
      <c r="L24" s="45"/>
      <c r="M24" s="45" t="s">
        <v>54</v>
      </c>
      <c r="N24" s="45" t="s">
        <v>55</v>
      </c>
      <c r="O24" s="45" t="s">
        <v>56</v>
      </c>
      <c r="P24" s="45" t="s">
        <v>57</v>
      </c>
      <c r="Q24" s="45" t="s">
        <v>58</v>
      </c>
      <c r="R24"/>
      <c r="S24"/>
      <c r="T24"/>
    </row>
    <row r="25" spans="1:22" x14ac:dyDescent="0.35">
      <c r="A25" s="41">
        <v>45460</v>
      </c>
      <c r="B25" s="71">
        <v>1232.502807617188</v>
      </c>
      <c r="D25" s="39">
        <f t="shared" si="0"/>
        <v>9.5678961100633675E-2</v>
      </c>
      <c r="F25" s="42">
        <v>45460</v>
      </c>
      <c r="G25" s="13">
        <v>4804.85009765625</v>
      </c>
      <c r="H25" s="37"/>
      <c r="I25" s="39">
        <f t="shared" si="1"/>
        <v>1.3692106387094949E-2</v>
      </c>
      <c r="J25" s="36"/>
      <c r="K25" s="36"/>
      <c r="L25" s="43" t="s">
        <v>59</v>
      </c>
      <c r="M25" s="43">
        <v>1</v>
      </c>
      <c r="N25" s="43">
        <v>2.7537610444947069E-4</v>
      </c>
      <c r="O25" s="43">
        <v>2.7537610444947069E-4</v>
      </c>
      <c r="P25" s="43">
        <v>0.1889968336857403</v>
      </c>
      <c r="Q25" s="43">
        <v>0.66467123109242154</v>
      </c>
      <c r="R25"/>
      <c r="S25"/>
      <c r="T25"/>
    </row>
    <row r="26" spans="1:22" x14ac:dyDescent="0.35">
      <c r="A26" s="41">
        <v>45467</v>
      </c>
      <c r="B26" s="71">
        <v>1201.45166015625</v>
      </c>
      <c r="D26" s="39">
        <f t="shared" si="0"/>
        <v>-2.5193571380960567E-2</v>
      </c>
      <c r="F26" s="42">
        <v>45467</v>
      </c>
      <c r="G26" s="13">
        <v>4716.75</v>
      </c>
      <c r="H26" s="36"/>
      <c r="I26" s="39">
        <f t="shared" si="1"/>
        <v>-1.8335659982238406E-2</v>
      </c>
      <c r="J26" s="36"/>
      <c r="K26" s="36"/>
      <c r="L26" s="43" t="s">
        <v>60</v>
      </c>
      <c r="M26" s="43">
        <v>102</v>
      </c>
      <c r="N26" s="43">
        <v>0.14861816521514171</v>
      </c>
      <c r="O26" s="43">
        <v>1.4570408354425658E-3</v>
      </c>
      <c r="P26" s="43"/>
      <c r="Q26" s="43"/>
      <c r="R26"/>
      <c r="S26"/>
      <c r="T26"/>
      <c r="U26" s="74"/>
      <c r="V26" s="74"/>
    </row>
    <row r="27" spans="1:22" ht="15" thickBot="1" x14ac:dyDescent="0.4">
      <c r="A27" s="41">
        <v>45474</v>
      </c>
      <c r="B27" s="71">
        <v>1190.64501953125</v>
      </c>
      <c r="D27" s="39">
        <f t="shared" si="0"/>
        <v>-8.9946528715059149E-3</v>
      </c>
      <c r="F27" s="42">
        <v>45474</v>
      </c>
      <c r="G27" s="13">
        <v>4853.10009765625</v>
      </c>
      <c r="H27" s="36"/>
      <c r="I27" s="39">
        <f t="shared" si="1"/>
        <v>2.8907637177346679E-2</v>
      </c>
      <c r="J27" s="36"/>
      <c r="K27" s="36"/>
      <c r="L27" s="44" t="s">
        <v>61</v>
      </c>
      <c r="M27" s="44">
        <v>103</v>
      </c>
      <c r="N27" s="44">
        <v>0.14889354131959118</v>
      </c>
      <c r="O27" s="44"/>
      <c r="P27" s="44"/>
      <c r="Q27" s="44"/>
      <c r="R27"/>
      <c r="S27"/>
      <c r="T27"/>
      <c r="U27" s="43"/>
      <c r="V27" s="43"/>
    </row>
    <row r="28" spans="1:22" ht="15" thickBot="1" x14ac:dyDescent="0.4">
      <c r="A28" s="41">
        <v>45481</v>
      </c>
      <c r="B28" s="71">
        <v>1300.325805664062</v>
      </c>
      <c r="D28" s="39">
        <f t="shared" si="0"/>
        <v>9.2118796394909275E-2</v>
      </c>
      <c r="F28" s="42">
        <v>45481</v>
      </c>
      <c r="G28" s="13">
        <v>4943.64990234375</v>
      </c>
      <c r="H28" s="36"/>
      <c r="I28" s="39">
        <f t="shared" si="1"/>
        <v>1.8658136627190069E-2</v>
      </c>
      <c r="J28" s="36"/>
      <c r="K28" s="36"/>
      <c r="M28"/>
      <c r="N28"/>
      <c r="O28"/>
      <c r="P28"/>
      <c r="Q28"/>
      <c r="R28"/>
      <c r="S28"/>
      <c r="T28"/>
      <c r="U28" s="43"/>
      <c r="V28" s="43"/>
    </row>
    <row r="29" spans="1:22" x14ac:dyDescent="0.35">
      <c r="A29" s="41">
        <v>45488</v>
      </c>
      <c r="B29" s="71">
        <v>1283.064331054688</v>
      </c>
      <c r="D29" s="39">
        <f t="shared" si="0"/>
        <v>-1.3274730482303099E-2</v>
      </c>
      <c r="F29" s="42">
        <v>45488</v>
      </c>
      <c r="G29" s="13">
        <v>5010.7001953125</v>
      </c>
      <c r="H29" s="36"/>
      <c r="I29" s="39">
        <f t="shared" si="1"/>
        <v>1.3562912886885936E-2</v>
      </c>
      <c r="L29" s="45"/>
      <c r="M29" s="45" t="s">
        <v>62</v>
      </c>
      <c r="N29" s="45" t="s">
        <v>51</v>
      </c>
      <c r="O29" s="45" t="s">
        <v>63</v>
      </c>
      <c r="P29" s="45" t="s">
        <v>64</v>
      </c>
      <c r="Q29" s="45" t="s">
        <v>65</v>
      </c>
      <c r="R29" s="45" t="s">
        <v>66</v>
      </c>
      <c r="S29" s="45" t="s">
        <v>70</v>
      </c>
      <c r="T29" s="45" t="s">
        <v>71</v>
      </c>
    </row>
    <row r="30" spans="1:22" x14ac:dyDescent="0.35">
      <c r="A30" s="41">
        <v>45495</v>
      </c>
      <c r="B30" s="71">
        <v>1284.727172851562</v>
      </c>
      <c r="D30" s="39">
        <f t="shared" si="0"/>
        <v>1.2959925364828262E-3</v>
      </c>
      <c r="F30" s="42">
        <v>45495</v>
      </c>
      <c r="G30" s="13">
        <v>5071.60009765625</v>
      </c>
      <c r="I30" s="39">
        <f t="shared" si="1"/>
        <v>1.2153970497121636E-2</v>
      </c>
      <c r="L30" s="43" t="s">
        <v>67</v>
      </c>
      <c r="M30" s="43">
        <v>2.6404409728115336E-4</v>
      </c>
      <c r="N30" s="43">
        <v>3.744803833913523E-3</v>
      </c>
      <c r="O30" s="43">
        <v>7.0509460306019012E-2</v>
      </c>
      <c r="P30" s="43">
        <v>0.94392622877187182</v>
      </c>
      <c r="Q30" s="43">
        <v>-7.1637565515344183E-3</v>
      </c>
      <c r="R30" s="43">
        <v>7.691844746096725E-3</v>
      </c>
      <c r="S30" s="43">
        <v>-7.1637565515344183E-3</v>
      </c>
      <c r="T30" s="43">
        <v>7.691844746096725E-3</v>
      </c>
    </row>
    <row r="31" spans="1:22" ht="15" thickBot="1" x14ac:dyDescent="0.4">
      <c r="A31" s="41">
        <v>45502</v>
      </c>
      <c r="B31" s="71">
        <v>1319.983276367188</v>
      </c>
      <c r="D31" s="39">
        <f t="shared" si="0"/>
        <v>2.7442482933844881E-2</v>
      </c>
      <c r="F31" s="42">
        <v>45502</v>
      </c>
      <c r="G31" s="13">
        <v>4909.7001953125</v>
      </c>
      <c r="I31" s="39">
        <f t="shared" si="1"/>
        <v>-3.1922844709023734E-2</v>
      </c>
      <c r="L31" s="44" t="s">
        <v>68</v>
      </c>
      <c r="M31" s="44">
        <v>3.766161198205728E-2</v>
      </c>
      <c r="N31" s="44">
        <v>8.6630663457933299E-2</v>
      </c>
      <c r="O31" s="44">
        <v>0.43473766076309989</v>
      </c>
      <c r="P31" s="44">
        <v>0.66467123109239501</v>
      </c>
      <c r="Q31" s="44">
        <v>-0.13416989823291006</v>
      </c>
      <c r="R31" s="44">
        <v>0.20949312219702462</v>
      </c>
      <c r="S31" s="44">
        <v>-0.13416989823291006</v>
      </c>
      <c r="T31" s="44">
        <v>0.20949312219702462</v>
      </c>
    </row>
    <row r="32" spans="1:22" x14ac:dyDescent="0.35">
      <c r="A32" s="41">
        <v>45509</v>
      </c>
      <c r="B32" s="71">
        <v>1314.261962890625</v>
      </c>
      <c r="D32" s="39">
        <f t="shared" si="0"/>
        <v>-4.3343833054528824E-3</v>
      </c>
      <c r="F32" s="42">
        <v>45509</v>
      </c>
      <c r="G32" s="13">
        <v>4989.9501953125</v>
      </c>
      <c r="I32" s="39">
        <f t="shared" si="1"/>
        <v>1.6345193557158133E-2</v>
      </c>
      <c r="M32"/>
      <c r="N32"/>
      <c r="O32"/>
      <c r="P32"/>
      <c r="Q32"/>
      <c r="R32"/>
      <c r="S32"/>
      <c r="T32"/>
    </row>
    <row r="33" spans="1:20" x14ac:dyDescent="0.35">
      <c r="A33" s="41">
        <v>45516</v>
      </c>
      <c r="B33" s="71">
        <v>1299.347900390625</v>
      </c>
      <c r="D33" s="39">
        <f t="shared" si="0"/>
        <v>-1.1347861325300412E-2</v>
      </c>
      <c r="F33" s="42">
        <v>45516</v>
      </c>
      <c r="G33" s="13">
        <v>5021.2998046875</v>
      </c>
      <c r="I33" s="39">
        <f t="shared" si="1"/>
        <v>6.2825495541918297E-3</v>
      </c>
      <c r="M33"/>
      <c r="N33"/>
      <c r="O33"/>
      <c r="P33"/>
      <c r="Q33"/>
      <c r="R33"/>
      <c r="S33"/>
      <c r="T33"/>
    </row>
    <row r="34" spans="1:20" x14ac:dyDescent="0.35">
      <c r="A34" s="41">
        <v>45523</v>
      </c>
      <c r="B34" s="71">
        <v>1310.5947265625</v>
      </c>
      <c r="D34" s="39">
        <f t="shared" si="0"/>
        <v>8.6557466006556005E-3</v>
      </c>
      <c r="F34" s="42">
        <v>45523</v>
      </c>
      <c r="G34" s="13">
        <v>4901.5</v>
      </c>
      <c r="I34" s="39">
        <f t="shared" si="1"/>
        <v>-2.3858325403247949E-2</v>
      </c>
      <c r="M34"/>
      <c r="N34"/>
      <c r="O34"/>
      <c r="P34"/>
      <c r="Q34"/>
      <c r="R34"/>
      <c r="S34"/>
      <c r="T34"/>
    </row>
    <row r="35" spans="1:20" x14ac:dyDescent="0.35">
      <c r="A35" s="41">
        <v>45530</v>
      </c>
      <c r="B35" s="71">
        <v>1277.29443359375</v>
      </c>
      <c r="D35" s="39">
        <f t="shared" si="0"/>
        <v>-2.5408535753910666E-2</v>
      </c>
      <c r="F35" s="42">
        <v>45530</v>
      </c>
      <c r="G35" s="13">
        <v>4927.4501953125</v>
      </c>
      <c r="I35" s="39">
        <f t="shared" si="1"/>
        <v>5.2943375114760105E-3</v>
      </c>
    </row>
    <row r="36" spans="1:20" x14ac:dyDescent="0.35">
      <c r="A36" s="41">
        <v>45537</v>
      </c>
      <c r="B36" s="71">
        <v>1207.124145507812</v>
      </c>
      <c r="D36" s="39">
        <f t="shared" si="0"/>
        <v>-5.493665848719731E-2</v>
      </c>
      <c r="F36" s="42">
        <v>45537</v>
      </c>
      <c r="G36" s="13">
        <v>5303.4501953125</v>
      </c>
      <c r="I36" s="39">
        <f t="shared" si="1"/>
        <v>7.6307214704613324E-2</v>
      </c>
    </row>
    <row r="37" spans="1:20" x14ac:dyDescent="0.35">
      <c r="A37" s="41">
        <v>45544</v>
      </c>
      <c r="B37" s="71">
        <v>1238.703125</v>
      </c>
      <c r="D37" s="39">
        <f t="shared" si="0"/>
        <v>2.616050686228566E-2</v>
      </c>
      <c r="F37" s="42">
        <v>45544</v>
      </c>
      <c r="G37" s="13">
        <v>5187.0498046875</v>
      </c>
      <c r="I37" s="39">
        <f t="shared" si="1"/>
        <v>-2.1948050106679884E-2</v>
      </c>
    </row>
    <row r="38" spans="1:20" x14ac:dyDescent="0.35">
      <c r="A38" s="41">
        <v>45551</v>
      </c>
      <c r="B38" s="71">
        <v>1221.26416015625</v>
      </c>
      <c r="D38" s="39">
        <f t="shared" si="0"/>
        <v>-1.4078405464384325E-2</v>
      </c>
      <c r="F38" s="42">
        <v>45551</v>
      </c>
      <c r="G38" s="13">
        <v>5320.5498046875</v>
      </c>
      <c r="I38" s="39">
        <f t="shared" si="1"/>
        <v>2.5737173350322662E-2</v>
      </c>
    </row>
    <row r="39" spans="1:20" x14ac:dyDescent="0.35">
      <c r="A39" s="41">
        <v>45558</v>
      </c>
      <c r="B39" s="71">
        <v>1249.871826171875</v>
      </c>
      <c r="D39" s="39">
        <f t="shared" si="0"/>
        <v>2.3424634038196057E-2</v>
      </c>
      <c r="F39" s="42">
        <v>45558</v>
      </c>
      <c r="G39" s="13">
        <v>5102.2998046875</v>
      </c>
      <c r="I39" s="39">
        <f t="shared" si="1"/>
        <v>-4.1020196786376806E-2</v>
      </c>
    </row>
    <row r="40" spans="1:20" x14ac:dyDescent="0.35">
      <c r="A40" s="41">
        <v>45565</v>
      </c>
      <c r="B40" s="71">
        <v>1229.78759765625</v>
      </c>
      <c r="D40" s="39">
        <f t="shared" si="0"/>
        <v>-1.6069030515824423E-2</v>
      </c>
      <c r="F40" s="42">
        <v>45565</v>
      </c>
      <c r="G40" s="13">
        <v>4737.5498046875</v>
      </c>
      <c r="I40" s="39">
        <f t="shared" si="1"/>
        <v>-7.1487371178170056E-2</v>
      </c>
    </row>
    <row r="41" spans="1:20" x14ac:dyDescent="0.35">
      <c r="A41" s="41">
        <v>45572</v>
      </c>
      <c r="B41" s="71">
        <v>1200.739135742188</v>
      </c>
      <c r="D41" s="39">
        <f t="shared" si="0"/>
        <v>-2.362071464163662E-2</v>
      </c>
      <c r="F41" s="42">
        <v>45572</v>
      </c>
      <c r="G41" s="13">
        <v>4572.7001953125</v>
      </c>
      <c r="I41" s="39">
        <f t="shared" si="1"/>
        <v>-3.4796385509634487E-2</v>
      </c>
    </row>
    <row r="42" spans="1:20" x14ac:dyDescent="0.35">
      <c r="A42" s="41">
        <v>45579</v>
      </c>
      <c r="B42" s="71">
        <v>1209.2626953125</v>
      </c>
      <c r="D42" s="39">
        <f t="shared" si="0"/>
        <v>7.0985939548340315E-3</v>
      </c>
      <c r="F42" s="42">
        <v>45579</v>
      </c>
      <c r="G42" s="13">
        <v>3986.69995117187</v>
      </c>
      <c r="I42" s="39">
        <f t="shared" si="1"/>
        <v>-0.12815190568175494</v>
      </c>
    </row>
    <row r="43" spans="1:20" x14ac:dyDescent="0.35">
      <c r="A43" s="41">
        <v>45586</v>
      </c>
      <c r="B43" s="71">
        <v>1152.488159179688</v>
      </c>
      <c r="D43" s="39">
        <f t="shared" si="0"/>
        <v>-4.6949712707494262E-2</v>
      </c>
      <c r="F43" s="42">
        <v>45586</v>
      </c>
      <c r="G43" s="13">
        <v>4052.19995117187</v>
      </c>
      <c r="I43" s="39">
        <f t="shared" si="1"/>
        <v>1.6429628716037925E-2</v>
      </c>
    </row>
    <row r="44" spans="1:20" x14ac:dyDescent="0.35">
      <c r="A44" s="41">
        <v>45593</v>
      </c>
      <c r="B44" s="71">
        <v>1164.63671875</v>
      </c>
      <c r="D44" s="39">
        <f t="shared" si="0"/>
        <v>1.0541157818887426E-2</v>
      </c>
      <c r="F44" s="42">
        <v>45593</v>
      </c>
      <c r="G44" s="13">
        <v>4001.60009765625</v>
      </c>
      <c r="I44" s="39">
        <f t="shared" si="1"/>
        <v>-1.2487008075943273E-2</v>
      </c>
    </row>
    <row r="45" spans="1:20" x14ac:dyDescent="0.35">
      <c r="A45" s="41">
        <v>45600</v>
      </c>
      <c r="B45" s="71">
        <v>1142.34814453125</v>
      </c>
      <c r="D45" s="39">
        <f t="shared" si="0"/>
        <v>-1.9137791089630318E-2</v>
      </c>
      <c r="F45" s="42">
        <v>45600</v>
      </c>
      <c r="G45" s="13">
        <v>3874.5</v>
      </c>
      <c r="I45" s="39">
        <f t="shared" si="1"/>
        <v>-3.1762318711130777E-2</v>
      </c>
    </row>
    <row r="46" spans="1:20" x14ac:dyDescent="0.35">
      <c r="A46" s="41">
        <v>45607</v>
      </c>
      <c r="B46" s="71">
        <v>1106.049560546875</v>
      </c>
      <c r="D46" s="39">
        <f t="shared" si="0"/>
        <v>-3.1775412914308854E-2</v>
      </c>
      <c r="F46" s="42">
        <v>45607</v>
      </c>
      <c r="G46" s="13">
        <v>3823.85009765625</v>
      </c>
      <c r="I46" s="39">
        <f t="shared" si="1"/>
        <v>-1.3072629331204011E-2</v>
      </c>
    </row>
    <row r="47" spans="1:20" x14ac:dyDescent="0.35">
      <c r="A47" s="41">
        <v>45614</v>
      </c>
      <c r="B47" s="71">
        <v>1122.5087890625</v>
      </c>
      <c r="D47" s="39">
        <f t="shared" si="0"/>
        <v>1.4881094937090333E-2</v>
      </c>
      <c r="F47" s="42">
        <v>45614</v>
      </c>
      <c r="G47" s="13">
        <v>3613.64990234375</v>
      </c>
      <c r="I47" s="39">
        <f t="shared" si="1"/>
        <v>-5.4970825200846063E-2</v>
      </c>
    </row>
    <row r="48" spans="1:20" x14ac:dyDescent="0.35">
      <c r="A48" s="41">
        <v>45621</v>
      </c>
      <c r="B48" s="71">
        <v>1210.487426757812</v>
      </c>
      <c r="D48" s="39">
        <f t="shared" si="0"/>
        <v>7.8376791836783921E-2</v>
      </c>
      <c r="F48" s="42">
        <v>45621</v>
      </c>
      <c r="G48" s="13">
        <v>3709.60009765625</v>
      </c>
      <c r="I48" s="39">
        <f t="shared" si="1"/>
        <v>2.6552155827344714E-2</v>
      </c>
    </row>
    <row r="49" spans="1:9" x14ac:dyDescent="0.35">
      <c r="A49" s="41">
        <v>45628</v>
      </c>
      <c r="B49" s="71">
        <v>1227.681274414062</v>
      </c>
      <c r="D49" s="39">
        <f t="shared" si="0"/>
        <v>1.4204069597238522E-2</v>
      </c>
      <c r="F49" s="42">
        <v>45628</v>
      </c>
      <c r="G49" s="13">
        <v>3805.55004882812</v>
      </c>
      <c r="I49" s="39">
        <f t="shared" si="1"/>
        <v>2.5865308563176814E-2</v>
      </c>
    </row>
    <row r="50" spans="1:9" x14ac:dyDescent="0.35">
      <c r="A50" s="41">
        <v>45635</v>
      </c>
      <c r="B50" s="71">
        <v>1247.37353515625</v>
      </c>
      <c r="D50" s="39">
        <f t="shared" si="0"/>
        <v>1.6040206161478388E-2</v>
      </c>
      <c r="F50" s="42">
        <v>45635</v>
      </c>
      <c r="G50" s="13">
        <v>3652.30004882812</v>
      </c>
      <c r="I50" s="39">
        <f t="shared" si="1"/>
        <v>-4.0270131264517617E-2</v>
      </c>
    </row>
    <row r="51" spans="1:9" x14ac:dyDescent="0.35">
      <c r="A51" s="41">
        <v>45642</v>
      </c>
      <c r="B51" s="71">
        <v>1261.089599609375</v>
      </c>
      <c r="D51" s="39">
        <f t="shared" si="0"/>
        <v>1.09959559558932E-2</v>
      </c>
      <c r="F51" s="42">
        <v>45642</v>
      </c>
      <c r="G51" s="13">
        <v>3408.30004882812</v>
      </c>
      <c r="I51" s="39">
        <f t="shared" si="1"/>
        <v>-6.6807216476721276E-2</v>
      </c>
    </row>
    <row r="52" spans="1:9" x14ac:dyDescent="0.35">
      <c r="A52" s="41">
        <v>45649</v>
      </c>
      <c r="B52" s="71">
        <v>1224.4970703125</v>
      </c>
      <c r="D52" s="39">
        <f t="shared" si="0"/>
        <v>-2.9016597479044837E-2</v>
      </c>
      <c r="F52" s="42">
        <v>45649</v>
      </c>
      <c r="G52" s="13">
        <v>3568.35009765625</v>
      </c>
      <c r="I52" s="39">
        <f t="shared" si="1"/>
        <v>4.6958908117012754E-2</v>
      </c>
    </row>
    <row r="53" spans="1:9" x14ac:dyDescent="0.35">
      <c r="A53" s="41">
        <v>45656</v>
      </c>
      <c r="B53" s="71">
        <v>1242.474975585938</v>
      </c>
      <c r="D53" s="39">
        <f t="shared" si="0"/>
        <v>1.4681868751919458E-2</v>
      </c>
      <c r="F53" s="42">
        <v>45656</v>
      </c>
      <c r="G53" s="13">
        <v>4025.19995117187</v>
      </c>
      <c r="I53" s="39">
        <f t="shared" si="1"/>
        <v>0.12802831589189823</v>
      </c>
    </row>
    <row r="54" spans="1:9" x14ac:dyDescent="0.35">
      <c r="A54" s="41">
        <v>45663</v>
      </c>
      <c r="B54" s="71">
        <v>1233.657592773438</v>
      </c>
      <c r="D54" s="39">
        <f t="shared" si="0"/>
        <v>-7.0966280897060141E-3</v>
      </c>
      <c r="F54" s="42">
        <v>45663</v>
      </c>
      <c r="G54" s="13">
        <v>3686.25</v>
      </c>
      <c r="I54" s="39">
        <f t="shared" si="1"/>
        <v>-8.4206984816540653E-2</v>
      </c>
    </row>
    <row r="55" spans="1:9" x14ac:dyDescent="0.35">
      <c r="A55" s="41">
        <v>45670</v>
      </c>
      <c r="B55" s="71">
        <v>1174.874755859375</v>
      </c>
      <c r="D55" s="39">
        <f t="shared" si="0"/>
        <v>-4.7649232054666646E-2</v>
      </c>
      <c r="F55" s="42">
        <v>45670</v>
      </c>
      <c r="G55" s="13">
        <v>3620.64990234375</v>
      </c>
      <c r="I55" s="39">
        <f t="shared" si="1"/>
        <v>-1.779588949643951E-2</v>
      </c>
    </row>
    <row r="56" spans="1:9" x14ac:dyDescent="0.35">
      <c r="A56" s="41">
        <v>45677</v>
      </c>
      <c r="B56" s="71">
        <v>1205.686767578125</v>
      </c>
      <c r="D56" s="39">
        <f t="shared" si="0"/>
        <v>2.6225784123016682E-2</v>
      </c>
      <c r="F56" s="42">
        <v>45677</v>
      </c>
      <c r="G56" s="13">
        <v>3579.94995117187</v>
      </c>
      <c r="I56" s="39">
        <f t="shared" si="1"/>
        <v>-1.1241062314678252E-2</v>
      </c>
    </row>
    <row r="57" spans="1:9" x14ac:dyDescent="0.35">
      <c r="A57" s="41">
        <v>45684</v>
      </c>
      <c r="B57" s="71">
        <v>1211.173217773438</v>
      </c>
      <c r="D57" s="39">
        <f t="shared" si="0"/>
        <v>4.5504772407294336E-3</v>
      </c>
      <c r="F57" s="42">
        <v>45684</v>
      </c>
      <c r="G57" s="13">
        <v>4023.75</v>
      </c>
      <c r="I57" s="39">
        <f t="shared" si="1"/>
        <v>0.12396822717671108</v>
      </c>
    </row>
    <row r="58" spans="1:9" x14ac:dyDescent="0.35">
      <c r="A58" s="41">
        <v>45691</v>
      </c>
      <c r="B58" s="71">
        <v>1214.847045898438</v>
      </c>
      <c r="D58" s="39">
        <f t="shared" si="0"/>
        <v>3.0332805176733757E-3</v>
      </c>
      <c r="F58" s="42">
        <v>45691</v>
      </c>
      <c r="G58" s="13">
        <v>3743.5</v>
      </c>
      <c r="I58" s="39">
        <f t="shared" si="1"/>
        <v>-6.964895930413173E-2</v>
      </c>
    </row>
    <row r="59" spans="1:9" x14ac:dyDescent="0.35">
      <c r="A59" s="41">
        <v>45698</v>
      </c>
      <c r="B59" s="71">
        <v>1115.552856445312</v>
      </c>
      <c r="D59" s="39">
        <f t="shared" si="0"/>
        <v>-8.1733902048297002E-2</v>
      </c>
      <c r="F59" s="42">
        <v>45698</v>
      </c>
      <c r="G59" s="13">
        <v>3682.64990234375</v>
      </c>
      <c r="I59" s="39">
        <f t="shared" si="1"/>
        <v>-1.6254867812541707E-2</v>
      </c>
    </row>
    <row r="60" spans="1:9" x14ac:dyDescent="0.35">
      <c r="A60" s="41">
        <v>45705</v>
      </c>
      <c r="B60" s="71">
        <v>1115.307983398438</v>
      </c>
      <c r="D60" s="39">
        <f t="shared" si="0"/>
        <v>-2.1950824244609812E-4</v>
      </c>
      <c r="F60" s="42">
        <v>45705</v>
      </c>
      <c r="G60" s="13">
        <v>3596.69995117187</v>
      </c>
      <c r="I60" s="39">
        <f t="shared" si="1"/>
        <v>-2.333915888045146E-2</v>
      </c>
    </row>
    <row r="61" spans="1:9" x14ac:dyDescent="0.35">
      <c r="A61" s="41">
        <v>45712</v>
      </c>
      <c r="B61" s="71">
        <v>1094.489135742188</v>
      </c>
      <c r="D61" s="39">
        <f t="shared" si="0"/>
        <v>-1.866645623105212E-2</v>
      </c>
      <c r="F61" s="42">
        <v>45712</v>
      </c>
      <c r="G61" s="13">
        <v>3403.94995117187</v>
      </c>
      <c r="I61" s="39">
        <f t="shared" si="1"/>
        <v>-5.3590792286467681E-2</v>
      </c>
    </row>
    <row r="62" spans="1:9" x14ac:dyDescent="0.35">
      <c r="A62" s="41">
        <v>45719</v>
      </c>
      <c r="B62" s="71">
        <v>1098.114013671875</v>
      </c>
      <c r="D62" s="39">
        <f t="shared" si="0"/>
        <v>3.3119359629174561E-3</v>
      </c>
      <c r="F62" s="42">
        <v>45719</v>
      </c>
      <c r="G62" s="13">
        <v>3593.60009765625</v>
      </c>
      <c r="I62" s="39">
        <f t="shared" si="1"/>
        <v>5.5714728243607015E-2</v>
      </c>
    </row>
    <row r="63" spans="1:9" x14ac:dyDescent="0.35">
      <c r="A63" s="41">
        <v>45726</v>
      </c>
      <c r="B63" s="71">
        <v>1071.382690429688</v>
      </c>
      <c r="D63" s="39">
        <f t="shared" si="0"/>
        <v>-2.4342939721534784E-2</v>
      </c>
      <c r="F63" s="42">
        <v>45726</v>
      </c>
      <c r="G63" s="13">
        <v>3797.10009765625</v>
      </c>
      <c r="I63" s="39">
        <f t="shared" si="1"/>
        <v>5.6628449039926032E-2</v>
      </c>
    </row>
    <row r="64" spans="1:9" x14ac:dyDescent="0.35">
      <c r="A64" s="41">
        <v>45733</v>
      </c>
      <c r="B64" s="71">
        <v>1068.4970703125</v>
      </c>
      <c r="D64" s="39">
        <f t="shared" si="0"/>
        <v>-2.6933607785194491E-3</v>
      </c>
      <c r="F64" s="42">
        <v>45733</v>
      </c>
      <c r="G64" s="13">
        <v>3892.19995117187</v>
      </c>
      <c r="I64" s="39">
        <f t="shared" si="1"/>
        <v>2.504539018455687E-2</v>
      </c>
    </row>
    <row r="65" spans="1:9" x14ac:dyDescent="0.35">
      <c r="A65" s="41">
        <v>45740</v>
      </c>
      <c r="B65" s="71">
        <v>1008.248901367188</v>
      </c>
      <c r="D65" s="39">
        <f t="shared" si="0"/>
        <v>-5.6385899989123467E-2</v>
      </c>
      <c r="F65" s="42">
        <v>45740</v>
      </c>
      <c r="G65" s="13">
        <v>4083.19995117187</v>
      </c>
      <c r="I65" s="39">
        <f t="shared" si="1"/>
        <v>4.9072504597944322E-2</v>
      </c>
    </row>
    <row r="66" spans="1:9" x14ac:dyDescent="0.35">
      <c r="A66" s="41">
        <v>45747</v>
      </c>
      <c r="B66" s="71">
        <v>1061.880249023438</v>
      </c>
      <c r="D66" s="39">
        <f t="shared" si="0"/>
        <v>5.3192567414182879E-2</v>
      </c>
      <c r="F66" s="42">
        <v>45747</v>
      </c>
      <c r="G66" s="13">
        <v>4039.89990234375</v>
      </c>
      <c r="I66" s="39">
        <f t="shared" si="1"/>
        <v>-1.0604439984794989E-2</v>
      </c>
    </row>
    <row r="67" spans="1:9" x14ac:dyDescent="0.35">
      <c r="A67" s="41">
        <v>45754</v>
      </c>
      <c r="B67" s="71">
        <v>1056.556884765625</v>
      </c>
      <c r="D67" s="39">
        <f t="shared" si="0"/>
        <v>-5.0131493289461426E-3</v>
      </c>
      <c r="F67" s="42">
        <v>45754</v>
      </c>
      <c r="G67" s="13">
        <v>4131.5</v>
      </c>
      <c r="I67" s="39">
        <f t="shared" si="1"/>
        <v>2.2673853281143908E-2</v>
      </c>
    </row>
    <row r="68" spans="1:9" x14ac:dyDescent="0.35">
      <c r="A68" s="41">
        <v>45761</v>
      </c>
      <c r="B68" s="71">
        <v>1090.437255859375</v>
      </c>
      <c r="D68" s="39">
        <f t="shared" si="0"/>
        <v>3.2066774238346474E-2</v>
      </c>
      <c r="F68" s="42">
        <v>45761</v>
      </c>
      <c r="G68" s="13">
        <v>4357.10009765625</v>
      </c>
      <c r="I68" s="39">
        <f t="shared" si="1"/>
        <v>5.4604888698112086E-2</v>
      </c>
    </row>
    <row r="69" spans="1:9" x14ac:dyDescent="0.35">
      <c r="A69" s="41">
        <v>45768</v>
      </c>
      <c r="B69" s="71">
        <v>1073.720947265625</v>
      </c>
      <c r="D69" s="39">
        <f t="shared" si="0"/>
        <v>-1.5329913302142173E-2</v>
      </c>
      <c r="F69" s="42">
        <v>45768</v>
      </c>
      <c r="G69" s="13">
        <v>4375.2001953125</v>
      </c>
      <c r="I69" s="39">
        <f t="shared" si="1"/>
        <v>4.154161541064072E-3</v>
      </c>
    </row>
    <row r="70" spans="1:9" x14ac:dyDescent="0.35">
      <c r="A70" s="41">
        <v>45775</v>
      </c>
      <c r="B70" s="71">
        <v>1076.6064453125</v>
      </c>
      <c r="D70" s="39">
        <f t="shared" si="0"/>
        <v>2.6873817207564432E-3</v>
      </c>
      <c r="F70" s="42">
        <v>45775</v>
      </c>
      <c r="G70" s="13">
        <v>4042.19995117187</v>
      </c>
      <c r="I70" s="39">
        <f t="shared" si="1"/>
        <v>-7.6110858766508471E-2</v>
      </c>
    </row>
    <row r="71" spans="1:9" x14ac:dyDescent="0.35">
      <c r="A71" s="41">
        <v>45782</v>
      </c>
      <c r="B71" s="71">
        <v>1053.322998046875</v>
      </c>
      <c r="D71" s="39">
        <f t="shared" si="0"/>
        <v>-2.1626702465882608E-2</v>
      </c>
      <c r="F71" s="42">
        <v>45782</v>
      </c>
      <c r="G71" s="13">
        <v>3972.39990234375</v>
      </c>
      <c r="I71" s="39">
        <f t="shared" si="1"/>
        <v>-1.7267836740209819E-2</v>
      </c>
    </row>
    <row r="72" spans="1:9" x14ac:dyDescent="0.35">
      <c r="A72" s="41">
        <v>45789</v>
      </c>
      <c r="B72" s="71">
        <v>1172.1279296875</v>
      </c>
      <c r="D72" s="39">
        <f t="shared" ref="D72:D110" si="2">B72/B71-1</f>
        <v>0.11279059876307573</v>
      </c>
      <c r="F72" s="42">
        <v>45789</v>
      </c>
      <c r="G72" s="13">
        <v>4189.7001953125</v>
      </c>
      <c r="I72" s="39">
        <f t="shared" ref="I72:I110" si="3">G72/G71-1</f>
        <v>5.4702521979355767E-2</v>
      </c>
    </row>
    <row r="73" spans="1:9" x14ac:dyDescent="0.35">
      <c r="A73" s="41">
        <v>45796</v>
      </c>
      <c r="B73" s="71">
        <v>1204.5654296875</v>
      </c>
      <c r="D73" s="39">
        <f t="shared" si="2"/>
        <v>2.767402702250088E-2</v>
      </c>
      <c r="F73" s="42">
        <v>45796</v>
      </c>
      <c r="G73" s="13">
        <v>4140.7998046875</v>
      </c>
      <c r="I73" s="39">
        <f t="shared" si="3"/>
        <v>-1.1671572748739978E-2</v>
      </c>
    </row>
    <row r="74" spans="1:9" x14ac:dyDescent="0.35">
      <c r="A74" s="41">
        <v>45803</v>
      </c>
      <c r="B74" s="71">
        <v>1200.684814453125</v>
      </c>
      <c r="D74" s="39">
        <f t="shared" si="2"/>
        <v>-3.2215894120269928E-3</v>
      </c>
      <c r="F74" s="42">
        <v>45803</v>
      </c>
      <c r="G74" s="13">
        <v>4002.10009765625</v>
      </c>
      <c r="I74" s="39">
        <f t="shared" si="3"/>
        <v>-3.349587364118356E-2</v>
      </c>
    </row>
    <row r="75" spans="1:9" x14ac:dyDescent="0.35">
      <c r="A75" s="41">
        <v>45810</v>
      </c>
      <c r="B75" s="71">
        <v>1216.505615234375</v>
      </c>
      <c r="D75" s="39">
        <f t="shared" si="2"/>
        <v>1.3176481113784888E-2</v>
      </c>
      <c r="F75" s="42">
        <v>45810</v>
      </c>
      <c r="G75" s="13">
        <v>4201.60009765625</v>
      </c>
      <c r="I75" s="39">
        <f t="shared" si="3"/>
        <v>4.9848828148209678E-2</v>
      </c>
    </row>
    <row r="76" spans="1:9" x14ac:dyDescent="0.35">
      <c r="A76" s="41">
        <v>45817</v>
      </c>
      <c r="B76" s="71">
        <v>1210.237060546875</v>
      </c>
      <c r="D76" s="39">
        <f t="shared" si="2"/>
        <v>-5.152918826677455E-3</v>
      </c>
      <c r="F76" s="42">
        <v>45817</v>
      </c>
      <c r="G76" s="13">
        <v>4051.89990234375</v>
      </c>
      <c r="I76" s="39">
        <f t="shared" si="3"/>
        <v>-3.5629329739402471E-2</v>
      </c>
    </row>
    <row r="77" spans="1:9" x14ac:dyDescent="0.35">
      <c r="A77" s="41">
        <v>45824</v>
      </c>
      <c r="B77" s="71">
        <v>1135.909423828125</v>
      </c>
      <c r="D77" s="39">
        <f t="shared" si="2"/>
        <v>-6.1415766498807423E-2</v>
      </c>
      <c r="F77" s="42">
        <v>45824</v>
      </c>
      <c r="G77" s="13">
        <v>4300.2998046875</v>
      </c>
      <c r="I77" s="39">
        <f t="shared" si="3"/>
        <v>6.1304550539382108E-2</v>
      </c>
    </row>
    <row r="78" spans="1:9" x14ac:dyDescent="0.35">
      <c r="A78" s="41">
        <v>45831</v>
      </c>
      <c r="B78" s="71">
        <v>1131.531372070312</v>
      </c>
      <c r="D78" s="39">
        <f t="shared" si="2"/>
        <v>-3.8542261081508933E-3</v>
      </c>
      <c r="F78" s="42">
        <v>45831</v>
      </c>
      <c r="G78" s="13">
        <v>4313.5</v>
      </c>
      <c r="I78" s="39">
        <f t="shared" si="3"/>
        <v>3.0695988447388967E-3</v>
      </c>
    </row>
    <row r="79" spans="1:9" x14ac:dyDescent="0.35">
      <c r="A79" s="41">
        <v>45838</v>
      </c>
      <c r="B79" s="71">
        <v>1136.1083984375</v>
      </c>
      <c r="D79" s="39">
        <f t="shared" si="2"/>
        <v>4.0449840633349776E-3</v>
      </c>
      <c r="F79" s="42">
        <v>45838</v>
      </c>
      <c r="G79" s="13">
        <v>4261.10009765625</v>
      </c>
      <c r="I79" s="39">
        <f t="shared" si="3"/>
        <v>-1.2147885091862709E-2</v>
      </c>
    </row>
    <row r="80" spans="1:9" x14ac:dyDescent="0.35">
      <c r="A80" s="41">
        <v>45845</v>
      </c>
      <c r="B80" s="71">
        <v>1166.356689453125</v>
      </c>
      <c r="D80" s="39">
        <f t="shared" si="2"/>
        <v>2.6624476200709069E-2</v>
      </c>
      <c r="F80" s="42">
        <v>45845</v>
      </c>
      <c r="G80" s="13">
        <v>4064.19995117187</v>
      </c>
      <c r="I80" s="39">
        <f t="shared" si="3"/>
        <v>-4.6208758764592739E-2</v>
      </c>
    </row>
    <row r="81" spans="1:9" x14ac:dyDescent="0.35">
      <c r="A81" s="41">
        <v>45852</v>
      </c>
      <c r="B81" s="71">
        <v>1219.789184570312</v>
      </c>
      <c r="D81" s="39">
        <f t="shared" si="2"/>
        <v>4.5811453391878088E-2</v>
      </c>
      <c r="F81" s="42">
        <v>45852</v>
      </c>
      <c r="G81" s="13">
        <v>4048.60009765625</v>
      </c>
      <c r="I81" s="39">
        <f t="shared" si="3"/>
        <v>-3.8383577833374094E-3</v>
      </c>
    </row>
    <row r="82" spans="1:9" x14ac:dyDescent="0.35">
      <c r="A82" s="41">
        <v>45859</v>
      </c>
      <c r="B82" s="71">
        <v>1211.530517578125</v>
      </c>
      <c r="D82" s="39">
        <f t="shared" si="2"/>
        <v>-6.7705691251035427E-3</v>
      </c>
      <c r="F82" s="42">
        <v>45859</v>
      </c>
      <c r="G82" s="13">
        <v>3997</v>
      </c>
      <c r="I82" s="39">
        <f t="shared" si="3"/>
        <v>-1.2745170283951057E-2</v>
      </c>
    </row>
    <row r="83" spans="1:9" x14ac:dyDescent="0.35">
      <c r="A83" s="41">
        <v>45866</v>
      </c>
      <c r="B83" s="71">
        <v>1195.610229492188</v>
      </c>
      <c r="D83" s="39">
        <f t="shared" si="2"/>
        <v>-1.3140641407665132E-2</v>
      </c>
      <c r="F83" s="42">
        <v>45866</v>
      </c>
      <c r="G83" s="13">
        <v>4196</v>
      </c>
      <c r="I83" s="39">
        <f t="shared" si="3"/>
        <v>4.978734050537903E-2</v>
      </c>
    </row>
    <row r="84" spans="1:9" x14ac:dyDescent="0.35">
      <c r="A84" s="41">
        <v>45873</v>
      </c>
      <c r="B84" s="71">
        <v>1102.078857421875</v>
      </c>
      <c r="D84" s="39">
        <f t="shared" si="2"/>
        <v>-7.8228982793195567E-2</v>
      </c>
      <c r="F84" s="42">
        <v>45873</v>
      </c>
      <c r="G84" s="13">
        <v>4170.10009765625</v>
      </c>
      <c r="I84" s="39">
        <f t="shared" si="3"/>
        <v>-6.1725220075666831E-3</v>
      </c>
    </row>
    <row r="85" spans="1:9" x14ac:dyDescent="0.35">
      <c r="A85" s="41">
        <v>45880</v>
      </c>
      <c r="B85" s="71">
        <v>1095.01416015625</v>
      </c>
      <c r="D85" s="39">
        <f t="shared" si="2"/>
        <v>-6.4103373529473817E-3</v>
      </c>
      <c r="F85" s="42">
        <v>45880</v>
      </c>
      <c r="G85" s="13">
        <v>4358.2001953125</v>
      </c>
      <c r="I85" s="39">
        <f t="shared" si="3"/>
        <v>4.5106854332338298E-2</v>
      </c>
    </row>
    <row r="86" spans="1:9" x14ac:dyDescent="0.35">
      <c r="A86" s="41">
        <v>45887</v>
      </c>
      <c r="B86" s="71">
        <v>1153.72021484375</v>
      </c>
      <c r="D86" s="39">
        <f t="shared" si="2"/>
        <v>5.3612142037618105E-2</v>
      </c>
      <c r="F86" s="42">
        <v>45887</v>
      </c>
      <c r="G86" s="13">
        <v>4698.7998046875</v>
      </c>
      <c r="I86" s="39">
        <f t="shared" si="3"/>
        <v>7.8151437316104744E-2</v>
      </c>
    </row>
    <row r="87" spans="1:9" x14ac:dyDescent="0.35">
      <c r="A87" s="41">
        <v>45894</v>
      </c>
      <c r="B87" s="71">
        <v>1135.113403320312</v>
      </c>
      <c r="D87" s="39">
        <f t="shared" si="2"/>
        <v>-1.6127663608596743E-2</v>
      </c>
      <c r="F87" s="42">
        <v>45894</v>
      </c>
      <c r="G87" s="13">
        <v>4755.60009765625</v>
      </c>
      <c r="I87" s="39">
        <f t="shared" si="3"/>
        <v>1.2088255582220375E-2</v>
      </c>
    </row>
    <row r="88" spans="1:9" x14ac:dyDescent="0.35">
      <c r="A88" s="41">
        <v>45901</v>
      </c>
      <c r="B88" s="71">
        <v>1225.958251953125</v>
      </c>
      <c r="D88" s="39">
        <f t="shared" si="2"/>
        <v>8.0031517879256331E-2</v>
      </c>
      <c r="F88" s="42">
        <v>45901</v>
      </c>
      <c r="G88" s="13">
        <v>4793.2998046875</v>
      </c>
      <c r="I88" s="39">
        <f t="shared" si="3"/>
        <v>7.9274342369177742E-3</v>
      </c>
    </row>
    <row r="89" spans="1:9" x14ac:dyDescent="0.35">
      <c r="A89" s="41">
        <v>45908</v>
      </c>
      <c r="B89" s="71">
        <v>1284.32177734375</v>
      </c>
      <c r="D89" s="39">
        <f t="shared" si="2"/>
        <v>4.7606454214606186E-2</v>
      </c>
      <c r="F89" s="42">
        <v>45908</v>
      </c>
      <c r="G89" s="13">
        <v>4616.60009765625</v>
      </c>
      <c r="I89" s="39">
        <f t="shared" si="3"/>
        <v>-3.686389632011966E-2</v>
      </c>
    </row>
    <row r="90" spans="1:9" x14ac:dyDescent="0.35">
      <c r="A90" s="41">
        <v>45915</v>
      </c>
      <c r="B90" s="71">
        <v>1307.355712890625</v>
      </c>
      <c r="D90" s="39">
        <f t="shared" si="2"/>
        <v>1.7934707604595923E-2</v>
      </c>
      <c r="F90" s="42">
        <v>45915</v>
      </c>
      <c r="G90" s="13">
        <v>4775.2998046875</v>
      </c>
      <c r="I90" s="39">
        <f t="shared" si="3"/>
        <v>3.4375883480100011E-2</v>
      </c>
    </row>
    <row r="91" spans="1:9" x14ac:dyDescent="0.35">
      <c r="A91" s="41">
        <v>45922</v>
      </c>
      <c r="B91" s="71">
        <v>1215.518798828125</v>
      </c>
      <c r="D91" s="39">
        <f t="shared" si="2"/>
        <v>-7.0246309521564188E-2</v>
      </c>
      <c r="F91" s="42">
        <v>45922</v>
      </c>
      <c r="G91" s="13">
        <v>4517.7998046875</v>
      </c>
      <c r="I91" s="39">
        <f t="shared" si="3"/>
        <v>-5.3923315924004234E-2</v>
      </c>
    </row>
    <row r="92" spans="1:9" x14ac:dyDescent="0.35">
      <c r="A92" s="41">
        <v>45929</v>
      </c>
      <c r="B92" s="71">
        <v>1250.02001953125</v>
      </c>
      <c r="D92" s="39">
        <f t="shared" si="2"/>
        <v>2.8383946621300726E-2</v>
      </c>
      <c r="F92" s="42">
        <v>45929</v>
      </c>
      <c r="G92" s="13">
        <v>4418.39990234375</v>
      </c>
      <c r="I92" s="39">
        <f t="shared" si="3"/>
        <v>-2.200183864734695E-2</v>
      </c>
    </row>
    <row r="93" spans="1:9" x14ac:dyDescent="0.35">
      <c r="A93" s="41">
        <v>45936</v>
      </c>
      <c r="B93" s="71">
        <v>1216.815185546875</v>
      </c>
      <c r="D93" s="39">
        <f t="shared" si="2"/>
        <v>-2.6563441757378126E-2</v>
      </c>
      <c r="F93" s="42">
        <v>45936</v>
      </c>
      <c r="G93" s="13">
        <v>4320.39990234375</v>
      </c>
      <c r="I93" s="39">
        <f t="shared" si="3"/>
        <v>-2.2179975141683239E-2</v>
      </c>
    </row>
    <row r="94" spans="1:9" x14ac:dyDescent="0.35">
      <c r="A94" s="41">
        <v>45943</v>
      </c>
      <c r="B94" s="71">
        <v>1199.863647460938</v>
      </c>
      <c r="D94" s="39">
        <f t="shared" si="2"/>
        <v>-1.3931070459412886E-2</v>
      </c>
      <c r="F94" s="42">
        <v>45943</v>
      </c>
      <c r="G94" s="13">
        <v>4302.5</v>
      </c>
      <c r="I94" s="39">
        <f t="shared" si="3"/>
        <v>-4.1431123850456109E-3</v>
      </c>
    </row>
    <row r="95" spans="1:9" x14ac:dyDescent="0.35">
      <c r="A95" s="41">
        <v>45950</v>
      </c>
      <c r="B95" s="71">
        <v>1133.154663085938</v>
      </c>
      <c r="D95" s="39">
        <f t="shared" si="2"/>
        <v>-5.559713765490315E-2</v>
      </c>
      <c r="F95" s="42">
        <v>45950</v>
      </c>
      <c r="G95" s="13">
        <v>4213.89990234375</v>
      </c>
      <c r="I95" s="39">
        <f t="shared" si="3"/>
        <v>-2.0592701372748379E-2</v>
      </c>
    </row>
    <row r="96" spans="1:9" x14ac:dyDescent="0.35">
      <c r="A96" s="41">
        <v>45957</v>
      </c>
      <c r="B96" s="71">
        <v>1125.576416015625</v>
      </c>
      <c r="D96" s="39">
        <f t="shared" si="2"/>
        <v>-6.6877429155831614E-3</v>
      </c>
      <c r="F96" s="42">
        <v>45957</v>
      </c>
      <c r="G96" s="13">
        <v>4153.5</v>
      </c>
      <c r="I96" s="39">
        <f t="shared" si="3"/>
        <v>-1.4333492428274308E-2</v>
      </c>
    </row>
    <row r="97" spans="1:9" x14ac:dyDescent="0.35">
      <c r="A97" s="41">
        <v>45964</v>
      </c>
      <c r="B97" s="71">
        <v>1119.992309570312</v>
      </c>
      <c r="D97" s="39">
        <f t="shared" si="2"/>
        <v>-4.9611082516102245E-3</v>
      </c>
      <c r="F97" s="42">
        <v>45964</v>
      </c>
      <c r="G97" s="13">
        <v>4011</v>
      </c>
      <c r="I97" s="39">
        <f t="shared" si="3"/>
        <v>-3.4308414590104697E-2</v>
      </c>
    </row>
    <row r="98" spans="1:9" x14ac:dyDescent="0.35">
      <c r="A98" s="41">
        <v>45971</v>
      </c>
      <c r="B98" s="71">
        <v>1094.26611328125</v>
      </c>
      <c r="D98" s="39">
        <f t="shared" si="2"/>
        <v>-2.2969975837541234E-2</v>
      </c>
      <c r="F98" s="42">
        <v>45971</v>
      </c>
      <c r="G98" s="13">
        <v>4053.69995117187</v>
      </c>
      <c r="I98" s="39">
        <f t="shared" si="3"/>
        <v>1.0645712084734527E-2</v>
      </c>
    </row>
    <row r="99" spans="1:9" x14ac:dyDescent="0.35">
      <c r="A99" s="41">
        <v>45978</v>
      </c>
      <c r="B99" s="71">
        <v>1141.53076171875</v>
      </c>
      <c r="D99" s="39">
        <f t="shared" si="2"/>
        <v>4.3193011155004069E-2</v>
      </c>
      <c r="F99" s="42">
        <v>45978</v>
      </c>
      <c r="G99" s="13">
        <v>4038</v>
      </c>
      <c r="I99" s="39">
        <f t="shared" si="3"/>
        <v>-3.8729929104228678E-3</v>
      </c>
    </row>
    <row r="100" spans="1:9" x14ac:dyDescent="0.35">
      <c r="A100" s="41">
        <v>45985</v>
      </c>
      <c r="B100" s="71">
        <v>1167.256958007812</v>
      </c>
      <c r="D100" s="39">
        <f t="shared" si="2"/>
        <v>2.2536577332640029E-2</v>
      </c>
      <c r="F100" s="42">
        <v>45985</v>
      </c>
      <c r="G100" s="13">
        <v>3996.5</v>
      </c>
      <c r="I100" s="39">
        <f t="shared" si="3"/>
        <v>-1.0277365032194119E-2</v>
      </c>
    </row>
    <row r="101" spans="1:9" x14ac:dyDescent="0.35">
      <c r="A101" s="41">
        <v>45992</v>
      </c>
      <c r="B101" s="71">
        <v>1085.391479492188</v>
      </c>
      <c r="D101" s="39">
        <f t="shared" si="2"/>
        <v>-7.0134924408886024E-2</v>
      </c>
      <c r="F101" s="42">
        <v>45992</v>
      </c>
      <c r="G101" s="13">
        <v>3952.10009765625</v>
      </c>
      <c r="I101" s="39">
        <f t="shared" si="3"/>
        <v>-1.1109696570436589E-2</v>
      </c>
    </row>
    <row r="102" spans="1:9" x14ac:dyDescent="0.35">
      <c r="A102" s="41">
        <v>45999</v>
      </c>
      <c r="B102" s="71">
        <v>1161.872436523438</v>
      </c>
      <c r="D102" s="39">
        <f t="shared" si="2"/>
        <v>7.046393718424282E-2</v>
      </c>
      <c r="F102" s="42">
        <v>45999</v>
      </c>
      <c r="G102" s="13">
        <v>3843</v>
      </c>
      <c r="I102" s="39">
        <f t="shared" si="3"/>
        <v>-2.7605600809794906E-2</v>
      </c>
    </row>
    <row r="103" spans="1:9" x14ac:dyDescent="0.35">
      <c r="A103" s="41">
        <v>46006</v>
      </c>
      <c r="B103" s="71">
        <v>1143.923828125</v>
      </c>
      <c r="D103" s="39">
        <f t="shared" si="2"/>
        <v>-1.5448002581198939E-2</v>
      </c>
      <c r="F103" s="42">
        <v>46006</v>
      </c>
      <c r="G103" s="13">
        <v>3819.5</v>
      </c>
      <c r="I103" s="39">
        <f t="shared" si="3"/>
        <v>-6.115014311735667E-3</v>
      </c>
    </row>
    <row r="104" spans="1:9" x14ac:dyDescent="0.35">
      <c r="A104" s="41">
        <v>46013</v>
      </c>
      <c r="B104" s="71">
        <v>1142.129028320312</v>
      </c>
      <c r="D104" s="39">
        <f t="shared" si="2"/>
        <v>-1.5689854171757611E-3</v>
      </c>
      <c r="F104" s="42">
        <v>46013</v>
      </c>
      <c r="G104" s="13">
        <v>3787.39990234375</v>
      </c>
      <c r="I104" s="39">
        <f t="shared" si="3"/>
        <v>-8.4042669606624321E-3</v>
      </c>
    </row>
    <row r="105" spans="1:9" x14ac:dyDescent="0.35">
      <c r="A105" s="41">
        <v>46020</v>
      </c>
      <c r="B105" s="71">
        <v>1176.729858398438</v>
      </c>
      <c r="D105" s="39">
        <f t="shared" si="2"/>
        <v>3.0295027286901366E-2</v>
      </c>
      <c r="F105" s="42">
        <v>46020</v>
      </c>
      <c r="G105" s="13">
        <v>3719.80004882812</v>
      </c>
      <c r="I105" s="39">
        <f t="shared" si="3"/>
        <v>-1.7848617853582716E-2</v>
      </c>
    </row>
    <row r="106" spans="1:9" x14ac:dyDescent="0.35">
      <c r="A106" s="41">
        <v>46027</v>
      </c>
      <c r="B106" s="71">
        <v>1104.237548828125</v>
      </c>
      <c r="D106" s="39">
        <f t="shared" si="2"/>
        <v>-6.1604886672100734E-2</v>
      </c>
      <c r="F106" s="42">
        <v>46027</v>
      </c>
      <c r="G106" s="13">
        <v>3801.30004882812</v>
      </c>
      <c r="I106" s="39">
        <f t="shared" si="3"/>
        <v>2.1909779808104268E-2</v>
      </c>
    </row>
    <row r="107" spans="1:9" x14ac:dyDescent="0.35">
      <c r="A107" s="41">
        <v>46034</v>
      </c>
      <c r="B107" s="71">
        <v>1063.853149414062</v>
      </c>
      <c r="D107" s="39">
        <f t="shared" si="2"/>
        <v>-3.6572202654149066E-2</v>
      </c>
      <c r="F107" s="42">
        <v>46034</v>
      </c>
      <c r="G107" s="13">
        <v>3775.69995117187</v>
      </c>
      <c r="I107" s="39">
        <f t="shared" si="3"/>
        <v>-6.7345637880235065E-3</v>
      </c>
    </row>
    <row r="108" spans="1:9" x14ac:dyDescent="0.35">
      <c r="A108" s="41">
        <v>46041</v>
      </c>
      <c r="B108" s="71">
        <v>1018.383361816406</v>
      </c>
      <c r="D108" s="39">
        <f t="shared" si="2"/>
        <v>-4.2740661737664998E-2</v>
      </c>
      <c r="F108" s="42">
        <v>46041</v>
      </c>
      <c r="G108" s="13">
        <v>3665.60009765625</v>
      </c>
      <c r="I108" s="39">
        <f t="shared" si="3"/>
        <v>-2.9160117313201228E-2</v>
      </c>
    </row>
    <row r="109" spans="1:9" x14ac:dyDescent="0.35">
      <c r="A109" s="41">
        <v>46048</v>
      </c>
      <c r="B109" s="71">
        <v>1028.155395507812</v>
      </c>
      <c r="D109" s="39">
        <f t="shared" si="2"/>
        <v>9.595633685507643E-3</v>
      </c>
      <c r="F109" s="42">
        <v>46048</v>
      </c>
      <c r="G109" s="13">
        <v>3613.69995117187</v>
      </c>
      <c r="I109" s="39">
        <f t="shared" si="3"/>
        <v>-1.4158703923421556E-2</v>
      </c>
    </row>
    <row r="110" spans="1:9" ht="15" thickBot="1" x14ac:dyDescent="0.4">
      <c r="A110" s="41">
        <v>46055</v>
      </c>
      <c r="B110" s="71">
        <v>1032.7421875</v>
      </c>
      <c r="D110" s="40">
        <f t="shared" si="2"/>
        <v>4.4611855486325069E-3</v>
      </c>
      <c r="F110" s="42">
        <v>46055</v>
      </c>
      <c r="G110" s="13">
        <v>3883.89990234375</v>
      </c>
      <c r="I110" s="40">
        <f t="shared" si="3"/>
        <v>7.477099782018648E-2</v>
      </c>
    </row>
  </sheetData>
  <mergeCells count="3">
    <mergeCell ref="K3:L3"/>
    <mergeCell ref="C5:D5"/>
    <mergeCell ref="H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F641-BED4-4EBE-8AC2-D0071E0E97E6}">
  <dimension ref="A1:F106"/>
  <sheetViews>
    <sheetView showGridLines="0" topLeftCell="A88" workbookViewId="0">
      <selection activeCell="B2" sqref="B2:B106"/>
    </sheetView>
  </sheetViews>
  <sheetFormatPr defaultRowHeight="14.5" x14ac:dyDescent="0.35"/>
  <cols>
    <col min="1" max="1" width="17.81640625" bestFit="1" customWidth="1"/>
    <col min="2" max="5" width="11.81640625" bestFit="1" customWidth="1"/>
    <col min="6" max="6" width="13" bestFit="1" customWidth="1"/>
  </cols>
  <sheetData>
    <row r="1" spans="1:6" x14ac:dyDescent="0.35">
      <c r="A1" s="69" t="s">
        <v>94</v>
      </c>
      <c r="B1" s="69" t="s">
        <v>95</v>
      </c>
      <c r="C1" s="69" t="s">
        <v>96</v>
      </c>
      <c r="D1" s="69" t="s">
        <v>97</v>
      </c>
      <c r="E1" s="69" t="s">
        <v>98</v>
      </c>
      <c r="F1" s="69" t="s">
        <v>99</v>
      </c>
    </row>
    <row r="2" spans="1:6" x14ac:dyDescent="0.35">
      <c r="A2" s="70">
        <v>45327</v>
      </c>
      <c r="B2" s="71">
        <v>3753.72045898437</v>
      </c>
      <c r="C2" s="71">
        <v>947.68273925781205</v>
      </c>
      <c r="D2" s="71">
        <v>252.8500061035156</v>
      </c>
      <c r="E2" s="71">
        <v>3212.35107421875</v>
      </c>
      <c r="F2" s="71">
        <v>1075.927734375</v>
      </c>
    </row>
    <row r="3" spans="1:6" x14ac:dyDescent="0.35">
      <c r="A3" s="70">
        <v>45334</v>
      </c>
      <c r="B3" s="71">
        <v>4018.359375</v>
      </c>
      <c r="C3" s="71">
        <v>955.14794921875</v>
      </c>
      <c r="D3" s="71">
        <v>230.8500061035156</v>
      </c>
      <c r="E3" s="71">
        <v>3220.74365234375</v>
      </c>
      <c r="F3" s="71">
        <v>1098.616943359375</v>
      </c>
    </row>
    <row r="4" spans="1:6" x14ac:dyDescent="0.35">
      <c r="A4" s="70">
        <v>45341</v>
      </c>
      <c r="B4" s="71">
        <v>3879.774658203125</v>
      </c>
      <c r="C4" s="71">
        <v>967.72088623046875</v>
      </c>
      <c r="D4" s="71">
        <v>226.19999694824219</v>
      </c>
      <c r="E4" s="71">
        <v>3270.399658203125</v>
      </c>
      <c r="F4" s="71">
        <v>1113.775634765625</v>
      </c>
    </row>
    <row r="5" spans="1:6" x14ac:dyDescent="0.35">
      <c r="A5" s="70">
        <v>45348</v>
      </c>
      <c r="B5" s="71">
        <v>3895.200439453125</v>
      </c>
      <c r="C5" s="71">
        <v>1006.127197265625</v>
      </c>
      <c r="D5" s="71">
        <v>229.75</v>
      </c>
      <c r="E5" s="71">
        <v>3315.80908203125</v>
      </c>
      <c r="F5" s="71">
        <v>1120.71923828125</v>
      </c>
    </row>
    <row r="6" spans="1:6" x14ac:dyDescent="0.35">
      <c r="A6" s="70">
        <v>45355</v>
      </c>
      <c r="B6" s="71">
        <v>3946.071533203125</v>
      </c>
      <c r="C6" s="71">
        <v>948.2230224609375</v>
      </c>
      <c r="D6" s="71">
        <v>225.3999938964844</v>
      </c>
      <c r="E6" s="71">
        <v>3223.69091796875</v>
      </c>
      <c r="F6" s="71">
        <v>1109.325927734375</v>
      </c>
    </row>
    <row r="7" spans="1:6" x14ac:dyDescent="0.35">
      <c r="A7" s="70">
        <v>45362</v>
      </c>
      <c r="B7" s="71">
        <v>4057.598388671875</v>
      </c>
      <c r="C7" s="71">
        <v>908.98187255859375</v>
      </c>
      <c r="D7" s="71">
        <v>207.3500061035156</v>
      </c>
      <c r="E7" s="71">
        <v>3129.42431640625</v>
      </c>
      <c r="F7" s="71">
        <v>1054.998901367188</v>
      </c>
    </row>
    <row r="8" spans="1:6" x14ac:dyDescent="0.35">
      <c r="A8" s="70">
        <v>45369</v>
      </c>
      <c r="B8" s="71">
        <v>3942.4775390625</v>
      </c>
      <c r="C8" s="71">
        <v>916.447021484375</v>
      </c>
      <c r="D8" s="71">
        <v>205.3500061035156</v>
      </c>
      <c r="E8" s="71">
        <v>3104.9462890625</v>
      </c>
      <c r="F8" s="71">
        <v>1097.345703125</v>
      </c>
    </row>
    <row r="9" spans="1:6" x14ac:dyDescent="0.35">
      <c r="A9" s="70">
        <v>45376</v>
      </c>
      <c r="B9" s="71">
        <v>3941.878173828125</v>
      </c>
      <c r="C9" s="71">
        <v>910.062255859375</v>
      </c>
      <c r="D9" s="71">
        <v>205.55000305175781</v>
      </c>
      <c r="E9" s="71">
        <v>3194.26708984375</v>
      </c>
      <c r="F9" s="71">
        <v>1128.543212890625</v>
      </c>
    </row>
    <row r="10" spans="1:6" x14ac:dyDescent="0.35">
      <c r="A10" s="70">
        <v>45383</v>
      </c>
      <c r="B10" s="71">
        <v>3926.501953125</v>
      </c>
      <c r="C10" s="71">
        <v>893.51129150390625</v>
      </c>
      <c r="D10" s="71">
        <v>237.3500061035156</v>
      </c>
      <c r="E10" s="71">
        <v>3221.9423828125</v>
      </c>
      <c r="F10" s="71">
        <v>1055.683471679688</v>
      </c>
    </row>
    <row r="11" spans="1:6" x14ac:dyDescent="0.35">
      <c r="A11" s="70">
        <v>45390</v>
      </c>
      <c r="B11" s="71">
        <v>4047.56396484375</v>
      </c>
      <c r="C11" s="71">
        <v>898.1278076171875</v>
      </c>
      <c r="D11" s="71">
        <v>233.94999694824219</v>
      </c>
      <c r="E11" s="71">
        <v>3207.055419921875</v>
      </c>
      <c r="F11" s="71">
        <v>1026.099487304688</v>
      </c>
    </row>
    <row r="12" spans="1:6" x14ac:dyDescent="0.35">
      <c r="A12" s="70">
        <v>45397</v>
      </c>
      <c r="B12" s="71">
        <v>4152.5009765625</v>
      </c>
      <c r="C12" s="71">
        <v>902.00775146484375</v>
      </c>
      <c r="D12" s="71">
        <v>231.55000305175781</v>
      </c>
      <c r="E12" s="71">
        <v>3024.267822265625</v>
      </c>
      <c r="F12" s="71">
        <v>1045.316772460938</v>
      </c>
    </row>
    <row r="13" spans="1:6" x14ac:dyDescent="0.35">
      <c r="A13" s="70">
        <v>45404</v>
      </c>
      <c r="B13" s="71">
        <v>4298.1748046875</v>
      </c>
      <c r="C13" s="71">
        <v>920.916259765625</v>
      </c>
      <c r="D13" s="71">
        <v>268.54998779296881</v>
      </c>
      <c r="E13" s="71">
        <v>3077.670166015625</v>
      </c>
      <c r="F13" s="71">
        <v>1058.372924804688</v>
      </c>
    </row>
    <row r="14" spans="1:6" x14ac:dyDescent="0.35">
      <c r="A14" s="70">
        <v>45411</v>
      </c>
      <c r="B14" s="71">
        <v>4516.6357421875</v>
      </c>
      <c r="C14" s="71">
        <v>916.0540771484375</v>
      </c>
      <c r="D14" s="71">
        <v>254.1499938964844</v>
      </c>
      <c r="E14" s="71">
        <v>2990.59765625</v>
      </c>
      <c r="F14" s="71">
        <v>1044.779052734375</v>
      </c>
    </row>
    <row r="15" spans="1:6" x14ac:dyDescent="0.35">
      <c r="A15" s="70">
        <v>45418</v>
      </c>
      <c r="B15" s="71">
        <v>4464.466796875</v>
      </c>
      <c r="C15" s="71">
        <v>966.10009765625</v>
      </c>
      <c r="D15" s="71">
        <v>256.85000610351563</v>
      </c>
      <c r="E15" s="71">
        <v>2794.771240234375</v>
      </c>
      <c r="F15" s="71">
        <v>1014.510437011719</v>
      </c>
    </row>
    <row r="16" spans="1:6" x14ac:dyDescent="0.35">
      <c r="A16" s="70">
        <v>45425</v>
      </c>
      <c r="B16" s="71">
        <v>4635.80029296875</v>
      </c>
      <c r="C16" s="71">
        <v>1025.4775390625</v>
      </c>
      <c r="D16" s="71">
        <v>264.04998779296881</v>
      </c>
      <c r="E16" s="71">
        <v>3057.03857421875</v>
      </c>
      <c r="F16" s="71">
        <v>1121.89306640625</v>
      </c>
    </row>
    <row r="17" spans="1:6" x14ac:dyDescent="0.35">
      <c r="A17" s="70">
        <v>45432</v>
      </c>
      <c r="B17" s="71">
        <v>4708.087890625</v>
      </c>
      <c r="C17" s="71">
        <v>1005.046691894531</v>
      </c>
      <c r="D17" s="71">
        <v>290.04998779296881</v>
      </c>
      <c r="E17" s="71">
        <v>3381.950439453125</v>
      </c>
      <c r="F17" s="71">
        <v>1116.220703125</v>
      </c>
    </row>
    <row r="18" spans="1:6" x14ac:dyDescent="0.35">
      <c r="A18" s="70">
        <v>45439</v>
      </c>
      <c r="B18" s="71">
        <v>4555.20361328125</v>
      </c>
      <c r="C18" s="71">
        <v>1024.740966796875</v>
      </c>
      <c r="D18" s="71">
        <v>287.64999389648438</v>
      </c>
      <c r="E18" s="71">
        <v>3408.327392578125</v>
      </c>
      <c r="F18" s="71">
        <v>1110.54833984375</v>
      </c>
    </row>
    <row r="19" spans="1:6" x14ac:dyDescent="0.35">
      <c r="A19" s="70">
        <v>45446</v>
      </c>
      <c r="B19" s="71">
        <v>4960.302734375</v>
      </c>
      <c r="C19" s="71">
        <v>1094.726806640625</v>
      </c>
      <c r="D19" s="71">
        <v>324.20001220703119</v>
      </c>
      <c r="E19" s="71">
        <v>3216.697265625</v>
      </c>
      <c r="F19" s="71">
        <v>1130.4013671875</v>
      </c>
    </row>
    <row r="20" spans="1:6" x14ac:dyDescent="0.35">
      <c r="A20" s="70">
        <v>45453</v>
      </c>
      <c r="B20" s="71">
        <v>5241.00927734375</v>
      </c>
      <c r="C20" s="71">
        <v>1127.288818359375</v>
      </c>
      <c r="D20" s="71">
        <v>328.60000610351563</v>
      </c>
      <c r="E20" s="71">
        <v>3258.859619140625</v>
      </c>
      <c r="F20" s="71">
        <v>1124.875854492188</v>
      </c>
    </row>
    <row r="21" spans="1:6" x14ac:dyDescent="0.35">
      <c r="A21" s="70">
        <v>45460</v>
      </c>
      <c r="B21" s="71">
        <v>5261.79150390625</v>
      </c>
      <c r="C21" s="71">
        <v>1100.276611328125</v>
      </c>
      <c r="D21" s="71">
        <v>314.89999389648438</v>
      </c>
      <c r="E21" s="71">
        <v>3187.7197265625</v>
      </c>
      <c r="F21" s="71">
        <v>1232.502807617188</v>
      </c>
    </row>
    <row r="22" spans="1:6" x14ac:dyDescent="0.35">
      <c r="A22" s="70">
        <v>45467</v>
      </c>
      <c r="B22" s="71">
        <v>5475.10693359375</v>
      </c>
      <c r="C22" s="71">
        <v>1032.991943359375</v>
      </c>
      <c r="D22" s="71">
        <v>312.14999389648438</v>
      </c>
      <c r="E22" s="71">
        <v>3175.57568359375</v>
      </c>
      <c r="F22" s="71">
        <v>1201.45166015625</v>
      </c>
    </row>
    <row r="23" spans="1:6" x14ac:dyDescent="0.35">
      <c r="A23" s="70">
        <v>45474</v>
      </c>
      <c r="B23" s="71">
        <v>5615.03564453125</v>
      </c>
      <c r="C23" s="71">
        <v>1075.229125976562</v>
      </c>
      <c r="D23" s="71">
        <v>327.64999389648438</v>
      </c>
      <c r="E23" s="71">
        <v>3146.340087890625</v>
      </c>
      <c r="F23" s="71">
        <v>1190.64501953125</v>
      </c>
    </row>
    <row r="24" spans="1:6" x14ac:dyDescent="0.35">
      <c r="A24" s="70">
        <v>45481</v>
      </c>
      <c r="B24" s="71">
        <v>5646.3583984375</v>
      </c>
      <c r="C24" s="71">
        <v>1007.895202636719</v>
      </c>
      <c r="D24" s="71">
        <v>323.20001220703119</v>
      </c>
      <c r="E24" s="71">
        <v>3063.93115234375</v>
      </c>
      <c r="F24" s="71">
        <v>1300.325805664062</v>
      </c>
    </row>
    <row r="25" spans="1:6" x14ac:dyDescent="0.35">
      <c r="A25" s="70">
        <v>45488</v>
      </c>
      <c r="B25" s="71">
        <v>5161.87841796875</v>
      </c>
      <c r="C25" s="71">
        <v>1017.914306640625</v>
      </c>
      <c r="D25" s="71">
        <v>315.60000610351563</v>
      </c>
      <c r="E25" s="71">
        <v>3004.210693359375</v>
      </c>
      <c r="F25" s="71">
        <v>1283.064331054688</v>
      </c>
    </row>
    <row r="26" spans="1:6" x14ac:dyDescent="0.35">
      <c r="A26" s="70">
        <v>45495</v>
      </c>
      <c r="B26" s="71">
        <v>5388.681640625</v>
      </c>
      <c r="C26" s="71">
        <v>1063.58935546875</v>
      </c>
      <c r="D26" s="71">
        <v>330</v>
      </c>
      <c r="E26" s="71">
        <v>3078.9736328125</v>
      </c>
      <c r="F26" s="71">
        <v>1284.727172851562</v>
      </c>
    </row>
    <row r="27" spans="1:6" x14ac:dyDescent="0.35">
      <c r="A27" s="70">
        <v>45502</v>
      </c>
      <c r="B27" s="71">
        <v>5533.4560546875</v>
      </c>
      <c r="C27" s="71">
        <v>1118.055419921875</v>
      </c>
      <c r="D27" s="71">
        <v>335.5</v>
      </c>
      <c r="E27" s="71">
        <v>3159.333740234375</v>
      </c>
      <c r="F27" s="71">
        <v>1319.983276367188</v>
      </c>
    </row>
    <row r="28" spans="1:6" x14ac:dyDescent="0.35">
      <c r="A28" s="70">
        <v>45509</v>
      </c>
      <c r="B28" s="71">
        <v>6269.91845703125</v>
      </c>
      <c r="C28" s="71">
        <v>1101.504516601562</v>
      </c>
      <c r="D28" s="71">
        <v>324.70001220703119</v>
      </c>
      <c r="E28" s="71">
        <v>3185.970703125</v>
      </c>
      <c r="F28" s="71">
        <v>1314.261962890625</v>
      </c>
    </row>
    <row r="29" spans="1:6" x14ac:dyDescent="0.35">
      <c r="A29" s="70">
        <v>45516</v>
      </c>
      <c r="B29" s="71">
        <v>6496.771484375</v>
      </c>
      <c r="C29" s="71">
        <v>1101.602661132812</v>
      </c>
      <c r="D29" s="71">
        <v>319.45001220703119</v>
      </c>
      <c r="E29" s="71">
        <v>3107.259765625</v>
      </c>
      <c r="F29" s="71">
        <v>1299.347900390625</v>
      </c>
    </row>
    <row r="30" spans="1:6" x14ac:dyDescent="0.35">
      <c r="A30" s="70">
        <v>45523</v>
      </c>
      <c r="B30" s="71">
        <v>6942.7353515625</v>
      </c>
      <c r="C30" s="71">
        <v>1153.416748046875</v>
      </c>
      <c r="D30" s="71">
        <v>319.5</v>
      </c>
      <c r="E30" s="71">
        <v>3074.82568359375</v>
      </c>
      <c r="F30" s="71">
        <v>1310.5947265625</v>
      </c>
    </row>
    <row r="31" spans="1:6" x14ac:dyDescent="0.35">
      <c r="A31" s="70">
        <v>45530</v>
      </c>
      <c r="B31" s="71">
        <v>7152.5537109375</v>
      </c>
      <c r="C31" s="71">
        <v>1237.203979492188</v>
      </c>
      <c r="D31" s="71">
        <v>311.70001220703119</v>
      </c>
      <c r="E31" s="71">
        <v>3017.85400390625</v>
      </c>
      <c r="F31" s="71">
        <v>1277.29443359375</v>
      </c>
    </row>
    <row r="32" spans="1:6" x14ac:dyDescent="0.35">
      <c r="A32" s="70">
        <v>45537</v>
      </c>
      <c r="B32" s="71">
        <v>7097.4013671875</v>
      </c>
      <c r="C32" s="71">
        <v>1236.066162109375</v>
      </c>
      <c r="D32" s="71">
        <v>309.14999389648438</v>
      </c>
      <c r="E32" s="71">
        <v>2973.9755859375</v>
      </c>
      <c r="F32" s="71">
        <v>1207.124145507812</v>
      </c>
    </row>
    <row r="33" spans="1:6" x14ac:dyDescent="0.35">
      <c r="A33" s="70">
        <v>45544</v>
      </c>
      <c r="B33" s="71">
        <v>7226.88916015625</v>
      </c>
      <c r="C33" s="71">
        <v>1273.219848632812</v>
      </c>
      <c r="D33" s="71">
        <v>328.54998779296881</v>
      </c>
      <c r="E33" s="71">
        <v>2966.87939453125</v>
      </c>
      <c r="F33" s="71">
        <v>1238.703125</v>
      </c>
    </row>
    <row r="34" spans="1:6" x14ac:dyDescent="0.35">
      <c r="A34" s="70">
        <v>45551</v>
      </c>
      <c r="B34" s="71">
        <v>7458.68798828125</v>
      </c>
      <c r="C34" s="71">
        <v>1278.661865234375</v>
      </c>
      <c r="D34" s="71">
        <v>327.75</v>
      </c>
      <c r="E34" s="71">
        <v>3007.00927734375</v>
      </c>
      <c r="F34" s="71">
        <v>1221.26416015625</v>
      </c>
    </row>
    <row r="35" spans="1:6" x14ac:dyDescent="0.35">
      <c r="A35" s="70">
        <v>45558</v>
      </c>
      <c r="B35" s="71">
        <v>7826.91943359375</v>
      </c>
      <c r="C35" s="71">
        <v>1336.445434570312</v>
      </c>
      <c r="D35" s="71">
        <v>352.10000610351563</v>
      </c>
      <c r="E35" s="71">
        <v>3128.7490234375</v>
      </c>
      <c r="F35" s="71">
        <v>1249.871826171875</v>
      </c>
    </row>
    <row r="36" spans="1:6" x14ac:dyDescent="0.35">
      <c r="A36" s="70">
        <v>45565</v>
      </c>
      <c r="B36" s="71">
        <v>7346.93505859375</v>
      </c>
      <c r="C36" s="71">
        <v>1285.192138671875</v>
      </c>
      <c r="D36" s="71">
        <v>333</v>
      </c>
      <c r="E36" s="71">
        <v>3109.108642578125</v>
      </c>
      <c r="F36" s="71">
        <v>1229.78759765625</v>
      </c>
    </row>
    <row r="37" spans="1:6" x14ac:dyDescent="0.35">
      <c r="A37" s="70">
        <v>45572</v>
      </c>
      <c r="B37" s="71">
        <v>8227.822265625</v>
      </c>
      <c r="C37" s="71">
        <v>1306.119018554688</v>
      </c>
      <c r="D37" s="71">
        <v>340.25</v>
      </c>
      <c r="E37" s="71">
        <v>3135.6455078125</v>
      </c>
      <c r="F37" s="71">
        <v>1200.739135742188</v>
      </c>
    </row>
    <row r="38" spans="1:6" x14ac:dyDescent="0.35">
      <c r="A38" s="70">
        <v>45579</v>
      </c>
      <c r="B38" s="71">
        <v>7761.326171875</v>
      </c>
      <c r="C38" s="71">
        <v>1311.363037109375</v>
      </c>
      <c r="D38" s="71">
        <v>334.04998779296881</v>
      </c>
      <c r="E38" s="71">
        <v>3000.512451171875</v>
      </c>
      <c r="F38" s="71">
        <v>1209.2626953125</v>
      </c>
    </row>
    <row r="39" spans="1:6" x14ac:dyDescent="0.35">
      <c r="A39" s="70">
        <v>45586</v>
      </c>
      <c r="B39" s="71">
        <v>7355.078125</v>
      </c>
      <c r="C39" s="71">
        <v>1255.953979492188</v>
      </c>
      <c r="D39" s="71">
        <v>300.29998779296881</v>
      </c>
      <c r="E39" s="71">
        <v>2692.115478515625</v>
      </c>
      <c r="F39" s="71">
        <v>1152.488159179688</v>
      </c>
    </row>
    <row r="40" spans="1:6" x14ac:dyDescent="0.35">
      <c r="A40" s="70">
        <v>45593</v>
      </c>
      <c r="B40" s="71">
        <v>7142.81201171875</v>
      </c>
      <c r="C40" s="71">
        <v>1380.574829101562</v>
      </c>
      <c r="D40" s="71">
        <v>314.04998779296881</v>
      </c>
      <c r="E40" s="71">
        <v>2948.03857421875</v>
      </c>
      <c r="F40" s="71">
        <v>1164.63671875</v>
      </c>
    </row>
    <row r="41" spans="1:6" x14ac:dyDescent="0.35">
      <c r="A41" s="70">
        <v>45600</v>
      </c>
      <c r="B41" s="71">
        <v>6293.498046875</v>
      </c>
      <c r="C41" s="71">
        <v>1385.719970703125</v>
      </c>
      <c r="D41" s="71">
        <v>297.14999389648438</v>
      </c>
      <c r="E41" s="71">
        <v>2927.648681640625</v>
      </c>
      <c r="F41" s="71">
        <v>1142.34814453125</v>
      </c>
    </row>
    <row r="42" spans="1:6" x14ac:dyDescent="0.35">
      <c r="A42" s="70">
        <v>45607</v>
      </c>
      <c r="B42" s="71">
        <v>6457.40576171875</v>
      </c>
      <c r="C42" s="71">
        <v>1307.4052734375</v>
      </c>
      <c r="D42" s="71">
        <v>288.70001220703119</v>
      </c>
      <c r="E42" s="71">
        <v>2825.3994140625</v>
      </c>
      <c r="F42" s="71">
        <v>1106.049560546875</v>
      </c>
    </row>
    <row r="43" spans="1:6" x14ac:dyDescent="0.35">
      <c r="A43" s="70">
        <v>45614</v>
      </c>
      <c r="B43" s="71">
        <v>6647.04150390625</v>
      </c>
      <c r="C43" s="71">
        <v>1373.896118164062</v>
      </c>
      <c r="D43" s="71">
        <v>288.54998779296881</v>
      </c>
      <c r="E43" s="71">
        <v>2226.89599609375</v>
      </c>
      <c r="F43" s="71">
        <v>1122.5087890625</v>
      </c>
    </row>
    <row r="44" spans="1:6" x14ac:dyDescent="0.35">
      <c r="A44" s="70">
        <v>45621</v>
      </c>
      <c r="B44" s="71">
        <v>6789.51806640625</v>
      </c>
      <c r="C44" s="71">
        <v>1419.064208984375</v>
      </c>
      <c r="D44" s="71">
        <v>313.75</v>
      </c>
      <c r="E44" s="71">
        <v>2461.929443359375</v>
      </c>
      <c r="F44" s="71">
        <v>1210.487426757812</v>
      </c>
    </row>
    <row r="45" spans="1:6" x14ac:dyDescent="0.35">
      <c r="A45" s="70">
        <v>45628</v>
      </c>
      <c r="B45" s="71">
        <v>6993.89111328125</v>
      </c>
      <c r="C45" s="71">
        <v>1325.215209960938</v>
      </c>
      <c r="D45" s="71">
        <v>307.20001220703119</v>
      </c>
      <c r="E45" s="71">
        <v>2505.157958984375</v>
      </c>
      <c r="F45" s="71">
        <v>1227.681274414062</v>
      </c>
    </row>
    <row r="46" spans="1:6" x14ac:dyDescent="0.35">
      <c r="A46" s="70">
        <v>45635</v>
      </c>
      <c r="B46" s="71">
        <v>6994.19091796875</v>
      </c>
      <c r="C46" s="71">
        <v>1342.481201171875</v>
      </c>
      <c r="D46" s="71">
        <v>301.35000610351563</v>
      </c>
      <c r="E46" s="71">
        <v>2526.297607421875</v>
      </c>
      <c r="F46" s="71">
        <v>1247.37353515625</v>
      </c>
    </row>
    <row r="47" spans="1:6" x14ac:dyDescent="0.35">
      <c r="A47" s="70">
        <v>45642</v>
      </c>
      <c r="B47" s="71">
        <v>6825.63671875</v>
      </c>
      <c r="C47" s="71">
        <v>1285.340576171875</v>
      </c>
      <c r="D47" s="71">
        <v>282.20001220703119</v>
      </c>
      <c r="E47" s="71">
        <v>2343.7880859375</v>
      </c>
      <c r="F47" s="71">
        <v>1261.089599609375</v>
      </c>
    </row>
    <row r="48" spans="1:6" x14ac:dyDescent="0.35">
      <c r="A48" s="70">
        <v>45649</v>
      </c>
      <c r="B48" s="71">
        <v>7112.13818359375</v>
      </c>
      <c r="C48" s="71">
        <v>1237.154541015625</v>
      </c>
      <c r="D48" s="71">
        <v>282</v>
      </c>
      <c r="E48" s="71">
        <v>2408.755859375</v>
      </c>
      <c r="F48" s="71">
        <v>1224.4970703125</v>
      </c>
    </row>
    <row r="49" spans="1:6" x14ac:dyDescent="0.35">
      <c r="A49" s="70">
        <v>45656</v>
      </c>
      <c r="B49" s="71">
        <v>7301.375</v>
      </c>
      <c r="C49" s="71">
        <v>1244.179565429688</v>
      </c>
      <c r="D49" s="71">
        <v>280.75</v>
      </c>
      <c r="E49" s="71">
        <v>2563.329345703125</v>
      </c>
      <c r="F49" s="71">
        <v>1242.474975585938</v>
      </c>
    </row>
    <row r="50" spans="1:6" x14ac:dyDescent="0.35">
      <c r="A50" s="70">
        <v>45663</v>
      </c>
      <c r="B50" s="71">
        <v>6578.40087890625</v>
      </c>
      <c r="C50" s="71">
        <v>1168.239501953125</v>
      </c>
      <c r="D50" s="71">
        <v>274.10000610351563</v>
      </c>
      <c r="E50" s="71">
        <v>2373.223388671875</v>
      </c>
      <c r="F50" s="71">
        <v>1233.657592773438</v>
      </c>
    </row>
    <row r="51" spans="1:6" x14ac:dyDescent="0.35">
      <c r="A51" s="70">
        <v>45670</v>
      </c>
      <c r="B51" s="71">
        <v>6211.1689453125</v>
      </c>
      <c r="C51" s="71">
        <v>1181.597045898438</v>
      </c>
      <c r="D51" s="71">
        <v>274.70001220703119</v>
      </c>
      <c r="E51" s="71">
        <v>2398.611083984375</v>
      </c>
      <c r="F51" s="71">
        <v>1174.874755859375</v>
      </c>
    </row>
    <row r="52" spans="1:6" x14ac:dyDescent="0.35">
      <c r="A52" s="70">
        <v>45677</v>
      </c>
      <c r="B52" s="71">
        <v>5485.69775390625</v>
      </c>
      <c r="C52" s="71">
        <v>1120.647216796875</v>
      </c>
      <c r="D52" s="71">
        <v>271.89999389648438</v>
      </c>
      <c r="E52" s="71">
        <v>2313.952880859375</v>
      </c>
      <c r="F52" s="71">
        <v>1205.686767578125</v>
      </c>
    </row>
    <row r="53" spans="1:6" x14ac:dyDescent="0.35">
      <c r="A53" s="70">
        <v>45684</v>
      </c>
      <c r="B53" s="71">
        <v>6184.142578125</v>
      </c>
      <c r="C53" s="71">
        <v>963.1273193359375</v>
      </c>
      <c r="D53" s="71">
        <v>283.25</v>
      </c>
      <c r="E53" s="71">
        <v>2268.875244140625</v>
      </c>
      <c r="F53" s="71">
        <v>1211.173217773438</v>
      </c>
    </row>
    <row r="54" spans="1:6" x14ac:dyDescent="0.35">
      <c r="A54" s="70">
        <v>45691</v>
      </c>
      <c r="B54" s="71">
        <v>5449.6787109375</v>
      </c>
      <c r="C54" s="71">
        <v>925.8251953125</v>
      </c>
      <c r="D54" s="71">
        <v>275.60000610351563</v>
      </c>
      <c r="E54" s="71">
        <v>2337.64111328125</v>
      </c>
      <c r="F54" s="71">
        <v>1214.847045898438</v>
      </c>
    </row>
    <row r="55" spans="1:6" x14ac:dyDescent="0.35">
      <c r="A55" s="70">
        <v>45698</v>
      </c>
      <c r="B55" s="71">
        <v>5112.92041015625</v>
      </c>
      <c r="C55" s="71">
        <v>870.762451171875</v>
      </c>
      <c r="D55" s="71">
        <v>247.6000061035156</v>
      </c>
      <c r="E55" s="71">
        <v>2151.583251953125</v>
      </c>
      <c r="F55" s="71">
        <v>1115.552856445312</v>
      </c>
    </row>
    <row r="56" spans="1:6" x14ac:dyDescent="0.35">
      <c r="A56" s="70">
        <v>45705</v>
      </c>
      <c r="B56" s="71">
        <v>5043.83056640625</v>
      </c>
      <c r="C56" s="71">
        <v>863.2921142578125</v>
      </c>
      <c r="D56" s="71">
        <v>250.6000061035156</v>
      </c>
      <c r="E56" s="71">
        <v>2132.043212890625</v>
      </c>
      <c r="F56" s="71">
        <v>1115.307983398438</v>
      </c>
    </row>
    <row r="57" spans="1:6" x14ac:dyDescent="0.35">
      <c r="A57" s="70">
        <v>45712</v>
      </c>
      <c r="B57" s="71">
        <v>4847.3505859375</v>
      </c>
      <c r="C57" s="71">
        <v>834.25189208984375</v>
      </c>
      <c r="D57" s="71">
        <v>242.1499938964844</v>
      </c>
      <c r="E57" s="71">
        <v>2094.96142578125</v>
      </c>
      <c r="F57" s="71">
        <v>1094.489135742188</v>
      </c>
    </row>
    <row r="58" spans="1:6" x14ac:dyDescent="0.35">
      <c r="A58" s="70">
        <v>45719</v>
      </c>
      <c r="B58" s="71">
        <v>4995.5224609375</v>
      </c>
      <c r="C58" s="71">
        <v>824.1595458984375</v>
      </c>
      <c r="D58" s="71">
        <v>242.30999755859381</v>
      </c>
      <c r="E58" s="71">
        <v>2246.386474609375</v>
      </c>
      <c r="F58" s="71">
        <v>1098.114013671875</v>
      </c>
    </row>
    <row r="59" spans="1:6" x14ac:dyDescent="0.35">
      <c r="A59" s="70">
        <v>45726</v>
      </c>
      <c r="B59" s="71">
        <v>5018.052734375</v>
      </c>
      <c r="C59" s="71">
        <v>770.18524169921875</v>
      </c>
      <c r="D59" s="71">
        <v>240.05000305175781</v>
      </c>
      <c r="E59" s="71">
        <v>2219.99951171875</v>
      </c>
      <c r="F59" s="71">
        <v>1071.382690429688</v>
      </c>
    </row>
    <row r="60" spans="1:6" x14ac:dyDescent="0.35">
      <c r="A60" s="70">
        <v>45733</v>
      </c>
      <c r="B60" s="71">
        <v>5145.591796875</v>
      </c>
      <c r="C60" s="71">
        <v>772.36199951171875</v>
      </c>
      <c r="D60" s="71">
        <v>253.25999450683591</v>
      </c>
      <c r="E60" s="71">
        <v>2361.62939453125</v>
      </c>
      <c r="F60" s="71">
        <v>1068.4970703125</v>
      </c>
    </row>
    <row r="61" spans="1:6" x14ac:dyDescent="0.35">
      <c r="A61" s="70">
        <v>45740</v>
      </c>
      <c r="B61" s="71">
        <v>5320.54052734375</v>
      </c>
      <c r="C61" s="71">
        <v>767.662109375</v>
      </c>
      <c r="D61" s="71">
        <v>256.26998901367188</v>
      </c>
      <c r="E61" s="71">
        <v>2314.652587890625</v>
      </c>
      <c r="F61" s="71">
        <v>1008.248901367188</v>
      </c>
    </row>
    <row r="62" spans="1:6" x14ac:dyDescent="0.35">
      <c r="A62" s="70">
        <v>45747</v>
      </c>
      <c r="B62" s="71">
        <v>5558.03515625</v>
      </c>
      <c r="C62" s="71">
        <v>757.56982421875</v>
      </c>
      <c r="D62" s="71">
        <v>258.29998779296881</v>
      </c>
      <c r="E62" s="71">
        <v>2333.4931640625</v>
      </c>
      <c r="F62" s="71">
        <v>1061.880249023438</v>
      </c>
    </row>
    <row r="63" spans="1:6" x14ac:dyDescent="0.35">
      <c r="A63" s="70">
        <v>45754</v>
      </c>
      <c r="B63" s="71">
        <v>4776.41162109375</v>
      </c>
      <c r="C63" s="71">
        <v>793.9814453125</v>
      </c>
      <c r="D63" s="71">
        <v>254</v>
      </c>
      <c r="E63" s="71">
        <v>2320.249755859375</v>
      </c>
      <c r="F63" s="71">
        <v>1056.556884765625</v>
      </c>
    </row>
    <row r="64" spans="1:6" x14ac:dyDescent="0.35">
      <c r="A64" s="70">
        <v>45761</v>
      </c>
      <c r="B64" s="71">
        <v>5126.05908203125</v>
      </c>
      <c r="C64" s="71">
        <v>769.69049072265625</v>
      </c>
      <c r="D64" s="71">
        <v>266.20001220703119</v>
      </c>
      <c r="E64" s="71">
        <v>2416.90185546875</v>
      </c>
      <c r="F64" s="71">
        <v>1090.437255859375</v>
      </c>
    </row>
    <row r="65" spans="1:6" x14ac:dyDescent="0.35">
      <c r="A65" s="70">
        <v>45768</v>
      </c>
      <c r="B65" s="71">
        <v>5140.54638671875</v>
      </c>
      <c r="C65" s="71">
        <v>785.17529296875</v>
      </c>
      <c r="D65" s="71">
        <v>264.14999389648438</v>
      </c>
      <c r="E65" s="71">
        <v>2353.133544921875</v>
      </c>
      <c r="F65" s="71">
        <v>1073.720947265625</v>
      </c>
    </row>
    <row r="66" spans="1:6" x14ac:dyDescent="0.35">
      <c r="A66" s="70">
        <v>45775</v>
      </c>
      <c r="B66" s="71">
        <v>5149.53857421875</v>
      </c>
      <c r="C66" s="71">
        <v>764.84222412109375</v>
      </c>
      <c r="D66" s="71">
        <v>256.45001220703119</v>
      </c>
      <c r="E66" s="71">
        <v>2297.9609375</v>
      </c>
      <c r="F66" s="71">
        <v>1076.6064453125</v>
      </c>
    </row>
    <row r="67" spans="1:6" x14ac:dyDescent="0.35">
      <c r="A67" s="70">
        <v>45782</v>
      </c>
      <c r="B67" s="71">
        <v>5108.57421875</v>
      </c>
      <c r="C67" s="71">
        <v>715.4193115234375</v>
      </c>
      <c r="D67" s="71">
        <v>253.8999938964844</v>
      </c>
      <c r="E67" s="71">
        <v>2249.884765625</v>
      </c>
      <c r="F67" s="71">
        <v>1053.322998046875</v>
      </c>
    </row>
    <row r="68" spans="1:6" x14ac:dyDescent="0.35">
      <c r="A68" s="70">
        <v>45789</v>
      </c>
      <c r="B68" s="71">
        <v>5578.16748046875</v>
      </c>
      <c r="C68" s="71">
        <v>743.66802978515625</v>
      </c>
      <c r="D68" s="71">
        <v>278.10000610351563</v>
      </c>
      <c r="E68" s="71">
        <v>2553.734130859375</v>
      </c>
      <c r="F68" s="71">
        <v>1172.1279296875</v>
      </c>
    </row>
    <row r="69" spans="1:6" x14ac:dyDescent="0.35">
      <c r="A69" s="70">
        <v>45796</v>
      </c>
      <c r="B69" s="71">
        <v>5430.794921875</v>
      </c>
      <c r="C69" s="71">
        <v>726.74853515625</v>
      </c>
      <c r="D69" s="71">
        <v>88.550003051757813</v>
      </c>
      <c r="E69" s="71">
        <v>2538.741455078125</v>
      </c>
      <c r="F69" s="71">
        <v>1204.5654296875</v>
      </c>
    </row>
    <row r="70" spans="1:6" x14ac:dyDescent="0.35">
      <c r="A70" s="70">
        <v>45803</v>
      </c>
      <c r="B70" s="71">
        <v>5638.615234375</v>
      </c>
      <c r="C70" s="71">
        <v>788.8857421875</v>
      </c>
      <c r="D70" s="71">
        <v>85.849998474121094</v>
      </c>
      <c r="E70" s="71">
        <v>2518.6513671875</v>
      </c>
      <c r="F70" s="71">
        <v>1200.684814453125</v>
      </c>
    </row>
    <row r="71" spans="1:6" x14ac:dyDescent="0.35">
      <c r="A71" s="70">
        <v>45810</v>
      </c>
      <c r="B71" s="71">
        <v>5771.99951171875</v>
      </c>
      <c r="C71" s="71">
        <v>811.04937744140625</v>
      </c>
      <c r="D71" s="71">
        <v>77.769996643066406</v>
      </c>
      <c r="E71" s="71">
        <v>2532.9443359375</v>
      </c>
      <c r="F71" s="71">
        <v>1216.505615234375</v>
      </c>
    </row>
    <row r="72" spans="1:6" x14ac:dyDescent="0.35">
      <c r="A72" s="70">
        <v>45817</v>
      </c>
      <c r="B72" s="71">
        <v>5585.16162109375</v>
      </c>
      <c r="C72" s="71">
        <v>778.100830078125</v>
      </c>
      <c r="D72" s="71">
        <v>73.800003051757813</v>
      </c>
      <c r="E72" s="71">
        <v>2506.6572265625</v>
      </c>
      <c r="F72" s="71">
        <v>1210.237060546875</v>
      </c>
    </row>
    <row r="73" spans="1:6" x14ac:dyDescent="0.35">
      <c r="A73" s="70">
        <v>45824</v>
      </c>
      <c r="B73" s="71">
        <v>5897.5</v>
      </c>
      <c r="C73" s="71">
        <v>792.2498779296875</v>
      </c>
      <c r="D73" s="71">
        <v>73.660003662109375</v>
      </c>
      <c r="E73" s="71">
        <v>2448.39990234375</v>
      </c>
      <c r="F73" s="71">
        <v>1135.909423828125</v>
      </c>
    </row>
    <row r="74" spans="1:6" x14ac:dyDescent="0.35">
      <c r="A74" s="70">
        <v>45831</v>
      </c>
      <c r="B74" s="71">
        <v>6019.5</v>
      </c>
      <c r="C74" s="71">
        <v>795.56451416015625</v>
      </c>
      <c r="D74" s="71">
        <v>74.699996948242188</v>
      </c>
      <c r="E74" s="71">
        <v>2646.300048828125</v>
      </c>
      <c r="F74" s="71">
        <v>1131.531372070312</v>
      </c>
    </row>
    <row r="75" spans="1:6" x14ac:dyDescent="0.35">
      <c r="A75" s="70">
        <v>45838</v>
      </c>
      <c r="B75" s="71">
        <v>5456</v>
      </c>
      <c r="C75" s="71">
        <v>818.76702880859375</v>
      </c>
      <c r="D75" s="71">
        <v>78.330001831054688</v>
      </c>
      <c r="E75" s="71">
        <v>2599.10009765625</v>
      </c>
      <c r="F75" s="71">
        <v>1136.1083984375</v>
      </c>
    </row>
    <row r="76" spans="1:6" x14ac:dyDescent="0.35">
      <c r="A76" s="70">
        <v>45845</v>
      </c>
      <c r="B76" s="71">
        <v>5364</v>
      </c>
      <c r="C76" s="71">
        <v>787.69842529296875</v>
      </c>
      <c r="D76" s="71">
        <v>76.849998474121094</v>
      </c>
      <c r="E76" s="71">
        <v>2558.699951171875</v>
      </c>
      <c r="F76" s="71">
        <v>1166.356689453125</v>
      </c>
    </row>
    <row r="77" spans="1:6" x14ac:dyDescent="0.35">
      <c r="A77" s="70">
        <v>45852</v>
      </c>
      <c r="B77" s="71">
        <v>5375</v>
      </c>
      <c r="C77" s="71">
        <v>790.815185546875</v>
      </c>
      <c r="D77" s="71">
        <v>75.510002136230469</v>
      </c>
      <c r="E77" s="71">
        <v>2596.10009765625</v>
      </c>
      <c r="F77" s="71">
        <v>1219.789184570312</v>
      </c>
    </row>
    <row r="78" spans="1:6" x14ac:dyDescent="0.35">
      <c r="A78" s="70">
        <v>45859</v>
      </c>
      <c r="B78" s="71">
        <v>5043</v>
      </c>
      <c r="C78" s="71">
        <v>779.5849609375</v>
      </c>
      <c r="D78" s="71">
        <v>73.769996643066406</v>
      </c>
      <c r="E78" s="71">
        <v>2550.10009765625</v>
      </c>
      <c r="F78" s="71">
        <v>1211.530517578125</v>
      </c>
    </row>
    <row r="79" spans="1:6" x14ac:dyDescent="0.35">
      <c r="A79" s="70">
        <v>45866</v>
      </c>
      <c r="B79" s="71">
        <v>5180</v>
      </c>
      <c r="C79" s="71">
        <v>734.6146240234375</v>
      </c>
      <c r="D79" s="71">
        <v>73.779998779296875</v>
      </c>
      <c r="E79" s="71">
        <v>2350.89990234375</v>
      </c>
      <c r="F79" s="71">
        <v>1195.610229492188</v>
      </c>
    </row>
    <row r="80" spans="1:6" x14ac:dyDescent="0.35">
      <c r="A80" s="70">
        <v>45873</v>
      </c>
      <c r="B80" s="71">
        <v>5317</v>
      </c>
      <c r="C80" s="71">
        <v>733.179931640625</v>
      </c>
      <c r="D80" s="71">
        <v>74.19000244140625</v>
      </c>
      <c r="E80" s="71">
        <v>2178.10009765625</v>
      </c>
      <c r="F80" s="71">
        <v>1102.078857421875</v>
      </c>
    </row>
    <row r="81" spans="1:6" x14ac:dyDescent="0.35">
      <c r="A81" s="70">
        <v>45880</v>
      </c>
      <c r="B81" s="71">
        <v>5370.5</v>
      </c>
      <c r="C81" s="71">
        <v>735.75244140625</v>
      </c>
      <c r="D81" s="71">
        <v>75</v>
      </c>
      <c r="E81" s="71">
        <v>2281.60009765625</v>
      </c>
      <c r="F81" s="71">
        <v>1095.01416015625</v>
      </c>
    </row>
    <row r="82" spans="1:6" x14ac:dyDescent="0.35">
      <c r="A82" s="70">
        <v>45887</v>
      </c>
      <c r="B82" s="71">
        <v>5418</v>
      </c>
      <c r="C82" s="71">
        <v>768.05792236328125</v>
      </c>
      <c r="D82" s="71">
        <v>81.25</v>
      </c>
      <c r="E82" s="71">
        <v>2324.89990234375</v>
      </c>
      <c r="F82" s="71">
        <v>1153.72021484375</v>
      </c>
    </row>
    <row r="83" spans="1:6" x14ac:dyDescent="0.35">
      <c r="A83" s="70">
        <v>45894</v>
      </c>
      <c r="B83" s="71">
        <v>5298</v>
      </c>
      <c r="C83" s="71">
        <v>733.13043212890625</v>
      </c>
      <c r="D83" s="71">
        <v>77.349998474121094</v>
      </c>
      <c r="E83" s="71">
        <v>2244.699951171875</v>
      </c>
      <c r="F83" s="71">
        <v>1135.113403320312</v>
      </c>
    </row>
    <row r="84" spans="1:6" x14ac:dyDescent="0.35">
      <c r="A84" s="70">
        <v>45901</v>
      </c>
      <c r="B84" s="71">
        <v>5528.5</v>
      </c>
      <c r="C84" s="71">
        <v>724</v>
      </c>
      <c r="D84" s="71">
        <v>85.919998168945313</v>
      </c>
      <c r="E84" s="71">
        <v>2281.39990234375</v>
      </c>
      <c r="F84" s="71">
        <v>1225.958251953125</v>
      </c>
    </row>
    <row r="85" spans="1:6" x14ac:dyDescent="0.35">
      <c r="A85" s="70">
        <v>45908</v>
      </c>
      <c r="B85" s="71">
        <v>5130</v>
      </c>
      <c r="C85" s="71">
        <v>723.04998779296875</v>
      </c>
      <c r="D85" s="71">
        <v>88.379997253417969</v>
      </c>
      <c r="E85" s="71">
        <v>2392</v>
      </c>
      <c r="F85" s="71">
        <v>1284.32177734375</v>
      </c>
    </row>
    <row r="86" spans="1:6" x14ac:dyDescent="0.35">
      <c r="A86" s="70">
        <v>45915</v>
      </c>
      <c r="B86" s="71">
        <v>5080</v>
      </c>
      <c r="C86" s="71">
        <v>717.54998779296875</v>
      </c>
      <c r="D86" s="71">
        <v>92.110000610351563</v>
      </c>
      <c r="E86" s="71">
        <v>2524</v>
      </c>
      <c r="F86" s="71">
        <v>1307.355712890625</v>
      </c>
    </row>
    <row r="87" spans="1:6" x14ac:dyDescent="0.35">
      <c r="A87" s="70">
        <v>45922</v>
      </c>
      <c r="B87" s="71">
        <v>4679</v>
      </c>
      <c r="C87" s="71">
        <v>704</v>
      </c>
      <c r="D87" s="71">
        <v>84.900001525878906</v>
      </c>
      <c r="E87" s="71">
        <v>2543.699951171875</v>
      </c>
      <c r="F87" s="71">
        <v>1215.518798828125</v>
      </c>
    </row>
    <row r="88" spans="1:6" x14ac:dyDescent="0.35">
      <c r="A88" s="70">
        <v>45929</v>
      </c>
      <c r="B88" s="71">
        <v>4815.7001953125</v>
      </c>
      <c r="C88" s="71">
        <v>694.9000244140625</v>
      </c>
      <c r="D88" s="71">
        <v>87.989997863769531</v>
      </c>
      <c r="E88" s="71">
        <v>2589.89990234375</v>
      </c>
      <c r="F88" s="71">
        <v>1250.02001953125</v>
      </c>
    </row>
    <row r="89" spans="1:6" x14ac:dyDescent="0.35">
      <c r="A89" s="70">
        <v>45936</v>
      </c>
      <c r="B89" s="71">
        <v>4691.10009765625</v>
      </c>
      <c r="C89" s="71">
        <v>697.20001220703125</v>
      </c>
      <c r="D89" s="71">
        <v>83.19000244140625</v>
      </c>
      <c r="E89" s="71">
        <v>2550.89990234375</v>
      </c>
      <c r="F89" s="71">
        <v>1216.815185546875</v>
      </c>
    </row>
    <row r="90" spans="1:6" x14ac:dyDescent="0.35">
      <c r="A90" s="70">
        <v>45943</v>
      </c>
      <c r="B90" s="71">
        <v>4814.39990234375</v>
      </c>
      <c r="C90" s="71">
        <v>691.3499755859375</v>
      </c>
      <c r="D90" s="71">
        <v>82.279998779296875</v>
      </c>
      <c r="E90" s="71">
        <v>2549.39990234375</v>
      </c>
      <c r="F90" s="71">
        <v>1199.863647460938</v>
      </c>
    </row>
    <row r="91" spans="1:6" x14ac:dyDescent="0.35">
      <c r="A91" s="70">
        <v>45950</v>
      </c>
      <c r="B91" s="71">
        <v>4789.60009765625</v>
      </c>
      <c r="C91" s="71">
        <v>688.20001220703125</v>
      </c>
      <c r="D91" s="71">
        <v>81.930000305175781</v>
      </c>
      <c r="E91" s="71">
        <v>2504.199951171875</v>
      </c>
      <c r="F91" s="71">
        <v>1133.154663085938</v>
      </c>
    </row>
    <row r="92" spans="1:6" x14ac:dyDescent="0.35">
      <c r="A92" s="70">
        <v>45957</v>
      </c>
      <c r="B92" s="71">
        <v>4694.2998046875</v>
      </c>
      <c r="C92" s="71">
        <v>645.75</v>
      </c>
      <c r="D92" s="71">
        <v>81.639999389648438</v>
      </c>
      <c r="E92" s="71">
        <v>2481</v>
      </c>
      <c r="F92" s="71">
        <v>1125.576416015625</v>
      </c>
    </row>
    <row r="93" spans="1:6" x14ac:dyDescent="0.35">
      <c r="A93" s="70">
        <v>45964</v>
      </c>
      <c r="B93" s="71">
        <v>4627.2998046875</v>
      </c>
      <c r="C93" s="71">
        <v>639.5</v>
      </c>
      <c r="D93" s="71">
        <v>79.699996948242188</v>
      </c>
      <c r="E93" s="71">
        <v>2369.39990234375</v>
      </c>
      <c r="F93" s="71">
        <v>1119.992309570312</v>
      </c>
    </row>
    <row r="94" spans="1:6" x14ac:dyDescent="0.35">
      <c r="A94" s="70">
        <v>45971</v>
      </c>
      <c r="B94" s="71">
        <v>4391.2001953125</v>
      </c>
      <c r="C94" s="71">
        <v>626.5</v>
      </c>
      <c r="D94" s="71">
        <v>78.44000244140625</v>
      </c>
      <c r="E94" s="71">
        <v>2440</v>
      </c>
      <c r="F94" s="71">
        <v>1094.26611328125</v>
      </c>
    </row>
    <row r="95" spans="1:6" x14ac:dyDescent="0.35">
      <c r="A95" s="70">
        <v>45978</v>
      </c>
      <c r="B95" s="71">
        <v>4359.10009765625</v>
      </c>
      <c r="C95" s="71">
        <v>608.1500244140625</v>
      </c>
      <c r="D95" s="71">
        <v>76.709999084472656</v>
      </c>
      <c r="E95" s="71">
        <v>2422.300048828125</v>
      </c>
      <c r="F95" s="71">
        <v>1141.53076171875</v>
      </c>
    </row>
    <row r="96" spans="1:6" x14ac:dyDescent="0.35">
      <c r="A96" s="70">
        <v>45985</v>
      </c>
      <c r="B96" s="71">
        <v>4250.39990234375</v>
      </c>
      <c r="C96" s="71">
        <v>608.1500244140625</v>
      </c>
      <c r="D96" s="71">
        <v>78.150001525878906</v>
      </c>
      <c r="E96" s="71">
        <v>2280.199951171875</v>
      </c>
      <c r="F96" s="71">
        <v>1167.256958007812</v>
      </c>
    </row>
    <row r="97" spans="1:6" x14ac:dyDescent="0.35">
      <c r="A97" s="70">
        <v>45992</v>
      </c>
      <c r="B97" s="71">
        <v>4183.10009765625</v>
      </c>
      <c r="C97" s="71">
        <v>597.25</v>
      </c>
      <c r="D97" s="71">
        <v>77.410003662109375</v>
      </c>
      <c r="E97" s="71">
        <v>2265.39990234375</v>
      </c>
      <c r="F97" s="71">
        <v>1085.391479492188</v>
      </c>
    </row>
    <row r="98" spans="1:6" x14ac:dyDescent="0.35">
      <c r="A98" s="70">
        <v>45999</v>
      </c>
      <c r="B98" s="71">
        <v>4075.39990234375</v>
      </c>
      <c r="C98" s="71">
        <v>596.3499755859375</v>
      </c>
      <c r="D98" s="71">
        <v>77.669998168945313</v>
      </c>
      <c r="E98" s="71">
        <v>2282.39990234375</v>
      </c>
      <c r="F98" s="71">
        <v>1161.872436523438</v>
      </c>
    </row>
    <row r="99" spans="1:6" x14ac:dyDescent="0.35">
      <c r="A99" s="70">
        <v>46006</v>
      </c>
      <c r="B99" s="71">
        <v>4062.199951171875</v>
      </c>
      <c r="C99" s="71">
        <v>598.20001220703125</v>
      </c>
      <c r="D99" s="71">
        <v>76.819999694824219</v>
      </c>
      <c r="E99" s="71">
        <v>2239</v>
      </c>
      <c r="F99" s="71">
        <v>1143.923828125</v>
      </c>
    </row>
    <row r="100" spans="1:6" x14ac:dyDescent="0.35">
      <c r="A100" s="70">
        <v>46013</v>
      </c>
      <c r="B100" s="71">
        <v>4285.2998046875</v>
      </c>
      <c r="C100" s="71">
        <v>578.79998779296875</v>
      </c>
      <c r="D100" s="71">
        <v>76.779998779296875</v>
      </c>
      <c r="E100" s="71">
        <v>2229.89990234375</v>
      </c>
      <c r="F100" s="71">
        <v>1142.129028320312</v>
      </c>
    </row>
    <row r="101" spans="1:6" x14ac:dyDescent="0.35">
      <c r="A101" s="70">
        <v>46020</v>
      </c>
      <c r="B101" s="71">
        <v>4409.60009765625</v>
      </c>
      <c r="C101" s="71">
        <v>579.6500244140625</v>
      </c>
      <c r="D101" s="71">
        <v>78.160003662109375</v>
      </c>
      <c r="E101" s="71">
        <v>2279.800048828125</v>
      </c>
      <c r="F101" s="71">
        <v>1176.729858398438</v>
      </c>
    </row>
    <row r="102" spans="1:6" x14ac:dyDescent="0.35">
      <c r="A102" s="70">
        <v>46027</v>
      </c>
      <c r="B102" s="71">
        <v>3972.89990234375</v>
      </c>
      <c r="C102" s="71">
        <v>540.45001220703125</v>
      </c>
      <c r="D102" s="71">
        <v>74.540000915527344</v>
      </c>
      <c r="E102" s="71">
        <v>2153.699951171875</v>
      </c>
      <c r="F102" s="71">
        <v>1104.237548828125</v>
      </c>
    </row>
    <row r="103" spans="1:6" x14ac:dyDescent="0.35">
      <c r="A103" s="70">
        <v>46034</v>
      </c>
      <c r="B103" s="71">
        <v>3899.699951171875</v>
      </c>
      <c r="C103" s="71">
        <v>528.1500244140625</v>
      </c>
      <c r="D103" s="71">
        <v>71.300003051757813</v>
      </c>
      <c r="E103" s="71">
        <v>2157.300048828125</v>
      </c>
      <c r="F103" s="71">
        <v>1063.853149414062</v>
      </c>
    </row>
    <row r="104" spans="1:6" x14ac:dyDescent="0.35">
      <c r="A104" s="70">
        <v>46041</v>
      </c>
      <c r="B104" s="71">
        <v>3755.89990234375</v>
      </c>
      <c r="C104" s="71">
        <v>484.5</v>
      </c>
      <c r="D104" s="71">
        <v>61.639999389648438</v>
      </c>
      <c r="E104" s="71">
        <v>1864.199951171875</v>
      </c>
      <c r="F104" s="71">
        <v>1018.383361816406</v>
      </c>
    </row>
    <row r="105" spans="1:6" x14ac:dyDescent="0.35">
      <c r="A105" s="70">
        <v>46048</v>
      </c>
      <c r="B105" s="71">
        <v>3729</v>
      </c>
      <c r="C105" s="71">
        <v>478.45001220703119</v>
      </c>
      <c r="D105" s="71">
        <v>64.779998779296875</v>
      </c>
      <c r="E105" s="71">
        <v>1942.800048828125</v>
      </c>
      <c r="F105" s="71">
        <v>1028.155395507812</v>
      </c>
    </row>
    <row r="106" spans="1:6" x14ac:dyDescent="0.35">
      <c r="A106" s="70">
        <v>46055</v>
      </c>
      <c r="B106" s="71">
        <v>4113.7998046875</v>
      </c>
      <c r="C106" s="71">
        <v>470.75</v>
      </c>
      <c r="D106" s="71">
        <v>68.819999694824219</v>
      </c>
      <c r="E106" s="71">
        <v>2226.39990234375</v>
      </c>
      <c r="F106" s="71">
        <v>1032.7421875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1422-48FB-4823-99CE-36B0B8C5DA8E}">
  <dimension ref="C4:F9"/>
  <sheetViews>
    <sheetView showGridLines="0" workbookViewId="0">
      <selection activeCell="E14" sqref="E14"/>
    </sheetView>
  </sheetViews>
  <sheetFormatPr defaultRowHeight="14.5" x14ac:dyDescent="0.35"/>
  <cols>
    <col min="1" max="1" width="2.1796875" customWidth="1"/>
    <col min="3" max="3" width="15.7265625" bestFit="1" customWidth="1"/>
    <col min="4" max="4" width="16.453125" bestFit="1" customWidth="1"/>
    <col min="5" max="5" width="11.81640625" bestFit="1" customWidth="1"/>
    <col min="6" max="6" width="13" bestFit="1" customWidth="1"/>
  </cols>
  <sheetData>
    <row r="4" spans="3:6" x14ac:dyDescent="0.35">
      <c r="C4" s="64" t="s">
        <v>81</v>
      </c>
      <c r="D4" s="64" t="s">
        <v>82</v>
      </c>
      <c r="E4" s="64" t="s">
        <v>83</v>
      </c>
      <c r="F4" s="64" t="s">
        <v>84</v>
      </c>
    </row>
    <row r="5" spans="3:6" x14ac:dyDescent="0.35">
      <c r="C5" s="65" t="s">
        <v>85</v>
      </c>
      <c r="D5" s="66">
        <v>2605665222656</v>
      </c>
      <c r="E5" s="59">
        <v>16091899904</v>
      </c>
      <c r="F5" s="59">
        <v>7.0309999999999997</v>
      </c>
    </row>
    <row r="6" spans="3:6" x14ac:dyDescent="0.35">
      <c r="C6" s="61" t="s">
        <v>86</v>
      </c>
      <c r="D6" s="67">
        <v>1489847975936</v>
      </c>
      <c r="E6" s="61">
        <v>23485700096</v>
      </c>
      <c r="F6" s="61">
        <v>37.79</v>
      </c>
    </row>
    <row r="7" spans="3:6" x14ac:dyDescent="0.35">
      <c r="C7" s="61" t="s">
        <v>87</v>
      </c>
      <c r="D7" s="67">
        <v>118461530112</v>
      </c>
      <c r="E7" s="61">
        <v>4637550080</v>
      </c>
      <c r="F7" s="61">
        <v>26.948</v>
      </c>
    </row>
    <row r="8" spans="3:6" x14ac:dyDescent="0.35">
      <c r="C8" s="61" t="s">
        <v>88</v>
      </c>
      <c r="D8" s="67">
        <v>85499035648</v>
      </c>
      <c r="E8" s="61">
        <v>56652398592</v>
      </c>
      <c r="F8" s="61">
        <v>84.682000000000002</v>
      </c>
    </row>
    <row r="9" spans="3:6" x14ac:dyDescent="0.35">
      <c r="C9" s="63" t="s">
        <v>89</v>
      </c>
      <c r="D9" s="68">
        <v>285401055232</v>
      </c>
      <c r="E9" s="63">
        <v>14386299904</v>
      </c>
      <c r="F9" s="63">
        <v>77.873999999999995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A31F-08C4-47AE-82A7-36C6E12BF29D}">
  <dimension ref="B2:H32"/>
  <sheetViews>
    <sheetView showGridLines="0" workbookViewId="0">
      <selection activeCell="G7" sqref="G7"/>
    </sheetView>
  </sheetViews>
  <sheetFormatPr defaultRowHeight="14.5" x14ac:dyDescent="0.35"/>
  <cols>
    <col min="1" max="1" width="2.1796875" customWidth="1"/>
    <col min="6" max="6" width="17.36328125" bestFit="1" customWidth="1"/>
  </cols>
  <sheetData>
    <row r="2" spans="2:8" x14ac:dyDescent="0.35">
      <c r="B2" s="53" t="s">
        <v>116</v>
      </c>
      <c r="C2" s="53"/>
      <c r="D2" s="53"/>
      <c r="E2" s="53"/>
      <c r="F2" s="53"/>
    </row>
    <row r="4" spans="2:8" x14ac:dyDescent="0.35">
      <c r="C4" s="47" t="s">
        <v>117</v>
      </c>
      <c r="D4" s="47"/>
      <c r="E4" s="47"/>
      <c r="F4" s="47"/>
    </row>
    <row r="6" spans="2:8" x14ac:dyDescent="0.35">
      <c r="B6" t="s">
        <v>110</v>
      </c>
      <c r="D6" t="s">
        <v>111</v>
      </c>
    </row>
    <row r="7" spans="2:8" x14ac:dyDescent="0.35">
      <c r="B7">
        <v>2000</v>
      </c>
      <c r="D7" s="8">
        <v>-0.14649999999999999</v>
      </c>
    </row>
    <row r="8" spans="2:8" x14ac:dyDescent="0.35">
      <c r="B8">
        <v>2001</v>
      </c>
      <c r="D8" s="8">
        <v>-0.1618</v>
      </c>
    </row>
    <row r="9" spans="2:8" x14ac:dyDescent="0.35">
      <c r="B9">
        <v>2002</v>
      </c>
      <c r="D9" s="8">
        <v>3.2500000000000001E-2</v>
      </c>
      <c r="F9" t="s">
        <v>112</v>
      </c>
      <c r="H9" s="23">
        <f>AVERAGE(D7:D32)</f>
        <v>0.1514923076923077</v>
      </c>
    </row>
    <row r="10" spans="2:8" ht="16.5" x14ac:dyDescent="0.35">
      <c r="B10">
        <v>2003</v>
      </c>
      <c r="D10" s="8">
        <v>0.71900000000000008</v>
      </c>
      <c r="F10" t="s">
        <v>113</v>
      </c>
      <c r="H10" s="79" t="s">
        <v>114</v>
      </c>
    </row>
    <row r="11" spans="2:8" x14ac:dyDescent="0.35">
      <c r="B11">
        <v>2004</v>
      </c>
      <c r="D11" s="8">
        <v>0.10680000000000001</v>
      </c>
      <c r="F11" s="1" t="s">
        <v>115</v>
      </c>
      <c r="G11" s="1"/>
      <c r="H11" s="80">
        <f>H9</f>
        <v>0.1514923076923077</v>
      </c>
    </row>
    <row r="12" spans="2:8" x14ac:dyDescent="0.35">
      <c r="B12">
        <v>2005</v>
      </c>
      <c r="D12" s="8">
        <v>0.36340000000000006</v>
      </c>
    </row>
    <row r="13" spans="2:8" x14ac:dyDescent="0.35">
      <c r="B13">
        <v>2006</v>
      </c>
      <c r="D13" s="8">
        <v>0.39829999999999999</v>
      </c>
    </row>
    <row r="14" spans="2:8" x14ac:dyDescent="0.35">
      <c r="B14">
        <v>2007</v>
      </c>
      <c r="D14" s="8">
        <v>0.54770000000000008</v>
      </c>
    </row>
    <row r="15" spans="2:8" x14ac:dyDescent="0.35">
      <c r="B15">
        <v>2008</v>
      </c>
      <c r="D15" s="8">
        <v>-0.51790000000000003</v>
      </c>
    </row>
    <row r="16" spans="2:8" x14ac:dyDescent="0.35">
      <c r="B16">
        <v>2009</v>
      </c>
      <c r="D16" s="8">
        <v>0.75760000000000005</v>
      </c>
    </row>
    <row r="17" spans="2:4" x14ac:dyDescent="0.35">
      <c r="B17">
        <v>2010</v>
      </c>
      <c r="D17" s="8">
        <v>0.17949999999999999</v>
      </c>
    </row>
    <row r="18" spans="2:4" x14ac:dyDescent="0.35">
      <c r="B18">
        <v>2011</v>
      </c>
      <c r="D18" s="8">
        <v>-0.2462</v>
      </c>
    </row>
    <row r="19" spans="2:4" x14ac:dyDescent="0.35">
      <c r="B19">
        <v>2012</v>
      </c>
      <c r="D19" s="8">
        <v>0.27699999999999997</v>
      </c>
    </row>
    <row r="20" spans="2:4" x14ac:dyDescent="0.35">
      <c r="B20">
        <v>2013</v>
      </c>
      <c r="D20" s="8">
        <v>6.7599999999999993E-2</v>
      </c>
    </row>
    <row r="21" spans="2:4" x14ac:dyDescent="0.35">
      <c r="B21">
        <v>2014</v>
      </c>
      <c r="D21" s="8">
        <v>0.31390000000000001</v>
      </c>
    </row>
    <row r="22" spans="2:4" x14ac:dyDescent="0.35">
      <c r="B22">
        <v>2015</v>
      </c>
      <c r="D22" s="8">
        <v>-4.0599999999999997E-2</v>
      </c>
    </row>
    <row r="23" spans="2:4" x14ac:dyDescent="0.35">
      <c r="B23">
        <v>2016</v>
      </c>
      <c r="D23" s="8">
        <v>3.0099999999999998E-2</v>
      </c>
    </row>
    <row r="24" spans="2:4" x14ac:dyDescent="0.35">
      <c r="B24">
        <v>2017</v>
      </c>
      <c r="D24" s="8">
        <v>0.28649999999999998</v>
      </c>
    </row>
    <row r="25" spans="2:4" x14ac:dyDescent="0.35">
      <c r="B25">
        <v>2018</v>
      </c>
      <c r="D25" s="8">
        <v>3.15E-2</v>
      </c>
    </row>
    <row r="26" spans="2:4" x14ac:dyDescent="0.35">
      <c r="B26">
        <v>2019</v>
      </c>
      <c r="D26" s="8">
        <v>0.1202</v>
      </c>
    </row>
    <row r="27" spans="2:4" x14ac:dyDescent="0.35">
      <c r="B27">
        <v>2020</v>
      </c>
      <c r="D27" s="8">
        <v>0.14899999999999999</v>
      </c>
    </row>
    <row r="28" spans="2:4" x14ac:dyDescent="0.35">
      <c r="B28">
        <v>2021</v>
      </c>
      <c r="D28" s="8">
        <v>0.2412</v>
      </c>
    </row>
    <row r="29" spans="2:4" x14ac:dyDescent="0.35">
      <c r="B29">
        <v>2022</v>
      </c>
      <c r="D29" s="8">
        <v>4.3200000000000002E-2</v>
      </c>
    </row>
    <row r="30" spans="2:4" x14ac:dyDescent="0.35">
      <c r="B30">
        <v>2023</v>
      </c>
      <c r="D30" s="8">
        <v>0.19420000000000001</v>
      </c>
    </row>
    <row r="31" spans="2:4" x14ac:dyDescent="0.35">
      <c r="B31">
        <v>2024</v>
      </c>
      <c r="D31" s="8">
        <v>8.7499999999999994E-2</v>
      </c>
    </row>
    <row r="32" spans="2:4" x14ac:dyDescent="0.35">
      <c r="B32">
        <v>2025</v>
      </c>
      <c r="D32" s="8">
        <v>0.1051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WACC</vt:lpstr>
      <vt:lpstr>Beta dmart</vt:lpstr>
      <vt:lpstr>beta trent</vt:lpstr>
      <vt:lpstr>beta manavyar</vt:lpstr>
      <vt:lpstr>beta abfrl</vt:lpstr>
      <vt:lpstr>beta mterobrand</vt:lpstr>
      <vt:lpstr>comps closing prices</vt:lpstr>
      <vt:lpstr>beta-comps</vt:lpstr>
      <vt:lpstr>valuation of 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Jain</dc:creator>
  <cp:lastModifiedBy>Kushagra Jain</cp:lastModifiedBy>
  <cp:lastPrinted>2026-02-04T06:03:26Z</cp:lastPrinted>
  <dcterms:created xsi:type="dcterms:W3CDTF">2026-02-04T05:06:01Z</dcterms:created>
  <dcterms:modified xsi:type="dcterms:W3CDTF">2026-02-11T13:29:22Z</dcterms:modified>
</cp:coreProperties>
</file>